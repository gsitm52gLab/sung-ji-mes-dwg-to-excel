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SungjSteel\데크사업본부\1. Deckplate\★ 계약현장관리\ㄷ\대우건설\[대우고양일산(DC)] [25-D-039] 250925(박승권)_일산 식사동 지역주택조합 공동주택 신축공사_식사푸르지오파크센트(대우건설)\7. 발주서\"/>
    </mc:Choice>
  </mc:AlternateContent>
  <xr:revisionPtr revIDLastSave="0" documentId="13_ncr:1_{EC178FF8-6454-4C2F-92DC-FBA969741F01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제작의뢰서" sheetId="18" r:id="rId1"/>
    <sheet name="RECHECK" sheetId="20" r:id="rId2"/>
    <sheet name="일람표" sheetId="19" r:id="rId3"/>
  </sheets>
  <externalReferences>
    <externalReference r:id="rId4"/>
  </externalReferences>
  <definedNames>
    <definedName name="_Fill" localSheetId="1" hidden="1">[1]대비!#REF!</definedName>
    <definedName name="_Fill" localSheetId="0" hidden="1">[1]대비!#REF!</definedName>
    <definedName name="_Fill" hidden="1">[1]대비!#REF!</definedName>
    <definedName name="_xlnm._FilterDatabase" localSheetId="1" hidden="1">RECHECK!$A$14:$AG$231</definedName>
    <definedName name="_xlnm._FilterDatabase" localSheetId="0" hidden="1">제작의뢰서!$A$14:$AG$202</definedName>
    <definedName name="_Key1" localSheetId="1" hidden="1">#REF!</definedName>
    <definedName name="_Key1" localSheetId="0" hidden="1">#REF!</definedName>
    <definedName name="_Key1" hidden="1">#REF!</definedName>
    <definedName name="_Key2" localSheetId="1" hidden="1">#REF!</definedName>
    <definedName name="_Key2" localSheetId="0" hidden="1">#REF!</definedName>
    <definedName name="_Key2" hidden="1">#REF!</definedName>
    <definedName name="_Order1" hidden="1">0</definedName>
    <definedName name="_Order2" hidden="1">255</definedName>
    <definedName name="_Sort" localSheetId="1" hidden="1">#REF!</definedName>
    <definedName name="_Sort" localSheetId="0" hidden="1">#REF!</definedName>
    <definedName name="_Sort" hidden="1">#REF!</definedName>
    <definedName name="AA" hidden="1">{#N/A,#N/A,FALSE,"도급대비시행율";#N/A,#N/A,FALSE,"결의서";#N/A,#N/A,FALSE,"내역서";#N/A,#N/A,FALSE,"도급예상"}</definedName>
    <definedName name="ak" localSheetId="1" hidden="1">#REF!</definedName>
    <definedName name="ak" localSheetId="0" hidden="1">#REF!</definedName>
    <definedName name="ak" hidden="1">#REF!</definedName>
    <definedName name="GOFHD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_xlnm.Print_Area" localSheetId="1">RECHECK!$A$1:$U$231</definedName>
    <definedName name="_xlnm.Print_Area" localSheetId="0">제작의뢰서!$A$1:$T$202</definedName>
    <definedName name="_xlnm.Print_Titles" localSheetId="1">RECHECK!$1:$14</definedName>
    <definedName name="_xlnm.Print_Titles" localSheetId="0">제작의뢰서!$1:$14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기성." hidden="1">{#N/A,#N/A,FALSE,"신청통보";#N/A,#N/A,FALSE,"기성확인서";#N/A,#N/A,FALSE,"기성내역서"}</definedName>
    <definedName name="wrn.기초." hidden="1">{#N/A,#N/A,FALSE,"터빈집계";#N/A,#N/A,FALSE,"터빈내역";#N/A,#N/A,FALSE,"보일러집계";#N/A,#N/A,FALSE,"보일러내역"}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시행결의." hidden="1">{#N/A,#N/A,FALSE,"도급대비시행율";#N/A,#N/A,FALSE,"결의서";#N/A,#N/A,FALSE,"내역서";#N/A,#N/A,FALSE,"도급예상"}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hidden="1">{#N/A,#N/A,FALSE,"신청통보";#N/A,#N/A,FALSE,"기성확인서";#N/A,#N/A,FALSE,"기성내역서"}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" hidden="1">{#N/A,#N/A,FALSE,"도급대비시행율";#N/A,#N/A,FALSE,"결의서";#N/A,#N/A,FALSE,"내역서";#N/A,#N/A,FALSE,"도급예상"}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전2" localSheetId="1" hidden="1">#REF!</definedName>
    <definedName name="계전2" localSheetId="0" hidden="1">#REF!</definedName>
    <definedName name="계전2" hidden="1">#REF!</definedName>
    <definedName name="공통가설" localSheetId="1" hidden="1">#REF!</definedName>
    <definedName name="공통가설" localSheetId="0" hidden="1">#REF!</definedName>
    <definedName name="공통가설" hidden="1">#REF!</definedName>
    <definedName name="구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구자관" hidden="1">{#N/A,#N/A,FALSE,"신청통보";#N/A,#N/A,FALSE,"기성확인서";#N/A,#N/A,FALSE,"기성내역서"}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hidden="1">{#N/A,#N/A,FALSE,"도급대비시행율";#N/A,#N/A,FALSE,"결의서";#N/A,#N/A,FALSE,"내역서";#N/A,#N/A,FALSE,"도급예상"}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ㄹㄹ" localSheetId="1" hidden="1">#REF!</definedName>
    <definedName name="ㄹㄹ" localSheetId="0" hidden="1">#REF!</definedName>
    <definedName name="ㄹㄹ" hidden="1">#REF!</definedName>
    <definedName name="러헐" hidden="1">{#N/A,#N/A,FALSE,"도급대비시행율";#N/A,#N/A,FALSE,"결의서";#N/A,#N/A,FALSE,"내역서";#N/A,#N/A,FALSE,"도급예상"}</definedName>
    <definedName name="ㅁㅁㅁㅁㅁㅁㅁ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실행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ㅇㄹㄹ" localSheetId="1" hidden="1">#REF!</definedName>
    <definedName name="ㅇㄹㄹ" localSheetId="0" hidden="1">#REF!</definedName>
    <definedName name="ㅇㄹㄹ" hidden="1">#REF!</definedName>
    <definedName name="ㅇㅇ" localSheetId="1" hidden="1">#REF!</definedName>
    <definedName name="ㅇㅇ" localSheetId="0" hidden="1">#REF!</definedName>
    <definedName name="ㅇㅇ" hidden="1">#REF!</definedName>
    <definedName name="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을" hidden="1">{#N/A,#N/A,FALSE,"도급대비시행율";#N/A,#N/A,FALSE,"결의서";#N/A,#N/A,FALSE,"내역서";#N/A,#N/A,FALSE,"도급예상"}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ㅌㅍㅊㅇㅌㅎ" hidden="1">{#N/A,#N/A,FALSE,"도급대비시행율";#N/A,#N/A,FALSE,"결의서";#N/A,#N/A,FALSE,"내역서";#N/A,#N/A,FALSE,"도급예상"}</definedName>
    <definedName name="ㅎㅎㅎ" localSheetId="1" hidden="1">#REF!</definedName>
    <definedName name="ㅎㅎㅎ" localSheetId="0" hidden="1">#REF!</definedName>
    <definedName name="ㅎㅎㅎ" hidden="1">#REF!</definedName>
    <definedName name="현장" localSheetId="1" hidden="1">#REF!</definedName>
    <definedName name="현장" localSheetId="0" hidden="1">#REF!</definedName>
    <definedName name="현장" hidden="1">#REF!</definedName>
    <definedName name="ㅏㅓㅏ" hidden="1">{#N/A,#N/A,FALSE,"물가변동 (2)";#N/A,#N/A,FALSE,"공사비";#N/A,#N/A,FALSE,"사급";#N/A,#N/A,FALSE,"도급집계";#N/A,#N/A,FALSE,"재료비";#N/A,#N/A,FALSE,"노무비";#N/A,#N/A,FALSE,"경비"}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20" l="1"/>
  <c r="B7" i="20"/>
  <c r="B6" i="20"/>
  <c r="B5" i="20"/>
  <c r="I8" i="20"/>
  <c r="I7" i="20"/>
  <c r="I6" i="20"/>
  <c r="I5" i="20"/>
  <c r="J24" i="20"/>
  <c r="J15" i="20"/>
  <c r="J26" i="20"/>
  <c r="J20" i="20"/>
  <c r="J21" i="20"/>
  <c r="J18" i="20"/>
  <c r="J16" i="20"/>
  <c r="J29" i="20"/>
  <c r="J22" i="20"/>
  <c r="J31" i="20"/>
  <c r="J27" i="20"/>
  <c r="J30" i="20"/>
  <c r="J32" i="20"/>
  <c r="J23" i="20"/>
  <c r="J19" i="20"/>
  <c r="J28" i="20"/>
  <c r="J17" i="20"/>
  <c r="J25" i="20"/>
  <c r="N8" i="18" l="1"/>
  <c r="H29" i="18"/>
  <c r="R29" i="18" l="1"/>
  <c r="R27" i="18"/>
  <c r="R22" i="18"/>
  <c r="R16" i="18"/>
  <c r="R17" i="18"/>
  <c r="R18" i="18"/>
  <c r="R15" i="18"/>
  <c r="R28" i="18"/>
  <c r="R19" i="18"/>
  <c r="R20" i="18"/>
  <c r="R25" i="18"/>
  <c r="R26" i="18"/>
  <c r="R21" i="18"/>
  <c r="R24" i="18"/>
  <c r="R23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13" i="18" l="1"/>
  <c r="F202" i="18"/>
  <c r="F201" i="18"/>
  <c r="F200" i="18"/>
  <c r="F199" i="18"/>
  <c r="F198" i="18"/>
  <c r="F197" i="18"/>
  <c r="F196" i="18"/>
  <c r="F195" i="18"/>
  <c r="F194" i="18"/>
  <c r="F193" i="18"/>
  <c r="F192" i="18"/>
  <c r="F191" i="18"/>
  <c r="F190" i="18"/>
  <c r="F189" i="18"/>
  <c r="F188" i="18"/>
  <c r="F187" i="18"/>
  <c r="F186" i="18"/>
  <c r="F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F159" i="18"/>
  <c r="F158" i="18"/>
  <c r="F157" i="18"/>
  <c r="F156" i="18"/>
  <c r="F155" i="18"/>
  <c r="F154" i="18"/>
  <c r="F153" i="18"/>
  <c r="F152" i="18"/>
  <c r="F151" i="18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3" i="18"/>
  <c r="F24" i="18"/>
  <c r="F21" i="18"/>
  <c r="F26" i="18"/>
  <c r="F25" i="18"/>
  <c r="F20" i="18"/>
  <c r="F19" i="18"/>
  <c r="F28" i="18"/>
  <c r="F15" i="18"/>
  <c r="F18" i="18"/>
  <c r="F17" i="18"/>
  <c r="F16" i="18"/>
  <c r="F22" i="18"/>
  <c r="F27" i="18"/>
  <c r="F29" i="18"/>
  <c r="E202" i="18"/>
  <c r="D202" i="18"/>
  <c r="E201" i="18"/>
  <c r="D201" i="18"/>
  <c r="E200" i="18"/>
  <c r="D200" i="18"/>
  <c r="E199" i="18"/>
  <c r="D199" i="18"/>
  <c r="E198" i="18"/>
  <c r="D198" i="18"/>
  <c r="E197" i="18"/>
  <c r="D197" i="18"/>
  <c r="E196" i="18"/>
  <c r="D196" i="18"/>
  <c r="E195" i="18"/>
  <c r="D195" i="18"/>
  <c r="E194" i="18"/>
  <c r="D194" i="18"/>
  <c r="E193" i="18"/>
  <c r="D193" i="18"/>
  <c r="E192" i="18"/>
  <c r="D192" i="18"/>
  <c r="E191" i="18"/>
  <c r="D191" i="18"/>
  <c r="E190" i="18"/>
  <c r="D190" i="18"/>
  <c r="E189" i="18"/>
  <c r="D189" i="18"/>
  <c r="E188" i="18"/>
  <c r="D188" i="18"/>
  <c r="E187" i="18"/>
  <c r="D187" i="18"/>
  <c r="E186" i="18"/>
  <c r="D186" i="18"/>
  <c r="E185" i="18"/>
  <c r="D185" i="18"/>
  <c r="E184" i="18"/>
  <c r="D184" i="18"/>
  <c r="E183" i="18"/>
  <c r="D183" i="18"/>
  <c r="E182" i="18"/>
  <c r="D182" i="18"/>
  <c r="E181" i="18"/>
  <c r="D181" i="18"/>
  <c r="E180" i="18"/>
  <c r="D180" i="18"/>
  <c r="E179" i="18"/>
  <c r="D179" i="18"/>
  <c r="E178" i="18"/>
  <c r="D178" i="18"/>
  <c r="E177" i="18"/>
  <c r="D177" i="18"/>
  <c r="E176" i="18"/>
  <c r="D176" i="18"/>
  <c r="E175" i="18"/>
  <c r="D175" i="18"/>
  <c r="E174" i="18"/>
  <c r="D174" i="18"/>
  <c r="E173" i="18"/>
  <c r="D173" i="18"/>
  <c r="E172" i="18"/>
  <c r="D172" i="18"/>
  <c r="E171" i="18"/>
  <c r="D171" i="18"/>
  <c r="E170" i="18"/>
  <c r="D170" i="18"/>
  <c r="E169" i="18"/>
  <c r="D169" i="18"/>
  <c r="E168" i="18"/>
  <c r="D168" i="18"/>
  <c r="E167" i="18"/>
  <c r="D167" i="18"/>
  <c r="E166" i="18"/>
  <c r="D166" i="18"/>
  <c r="E165" i="18"/>
  <c r="D165" i="18"/>
  <c r="E164" i="18"/>
  <c r="D164" i="18"/>
  <c r="E163" i="18"/>
  <c r="D163" i="18"/>
  <c r="E162" i="18"/>
  <c r="D162" i="18"/>
  <c r="E161" i="18"/>
  <c r="D161" i="18"/>
  <c r="E160" i="18"/>
  <c r="D160" i="18"/>
  <c r="E159" i="18"/>
  <c r="D159" i="18"/>
  <c r="E158" i="18"/>
  <c r="D158" i="18"/>
  <c r="E157" i="18"/>
  <c r="D157" i="18"/>
  <c r="E156" i="18"/>
  <c r="D156" i="18"/>
  <c r="E155" i="18"/>
  <c r="D155" i="18"/>
  <c r="E154" i="18"/>
  <c r="D154" i="18"/>
  <c r="E153" i="18"/>
  <c r="D153" i="18"/>
  <c r="E152" i="18"/>
  <c r="D152" i="18"/>
  <c r="E151" i="18"/>
  <c r="D151" i="18"/>
  <c r="E150" i="18"/>
  <c r="D150" i="18"/>
  <c r="E149" i="18"/>
  <c r="D149" i="18"/>
  <c r="E148" i="18"/>
  <c r="D148" i="18"/>
  <c r="E147" i="18"/>
  <c r="D147" i="18"/>
  <c r="E146" i="18"/>
  <c r="D146" i="18"/>
  <c r="E145" i="18"/>
  <c r="D145" i="18"/>
  <c r="E144" i="18"/>
  <c r="D144" i="18"/>
  <c r="E143" i="18"/>
  <c r="D143" i="18"/>
  <c r="E142" i="18"/>
  <c r="D142" i="18"/>
  <c r="E141" i="18"/>
  <c r="D141" i="18"/>
  <c r="E140" i="18"/>
  <c r="D140" i="18"/>
  <c r="E139" i="18"/>
  <c r="D139" i="18"/>
  <c r="E138" i="18"/>
  <c r="D138" i="18"/>
  <c r="E137" i="18"/>
  <c r="D137" i="18"/>
  <c r="E136" i="18"/>
  <c r="D136" i="18"/>
  <c r="E135" i="18"/>
  <c r="D135" i="18"/>
  <c r="E134" i="18"/>
  <c r="D134" i="18"/>
  <c r="E133" i="18"/>
  <c r="D133" i="18"/>
  <c r="E132" i="18"/>
  <c r="D132" i="18"/>
  <c r="E131" i="18"/>
  <c r="D131" i="18"/>
  <c r="E130" i="18"/>
  <c r="D130" i="18"/>
  <c r="E129" i="18"/>
  <c r="D129" i="18"/>
  <c r="E128" i="18"/>
  <c r="D128" i="18"/>
  <c r="E127" i="18"/>
  <c r="D127" i="18"/>
  <c r="E126" i="18"/>
  <c r="D126" i="18"/>
  <c r="E125" i="18"/>
  <c r="D125" i="18"/>
  <c r="E124" i="18"/>
  <c r="D124" i="18"/>
  <c r="E123" i="18"/>
  <c r="D123" i="18"/>
  <c r="E122" i="18"/>
  <c r="D122" i="18"/>
  <c r="E121" i="18"/>
  <c r="D121" i="18"/>
  <c r="E120" i="18"/>
  <c r="D120" i="18"/>
  <c r="E119" i="18"/>
  <c r="D119" i="18"/>
  <c r="E118" i="18"/>
  <c r="D118" i="18"/>
  <c r="E117" i="18"/>
  <c r="D117" i="18"/>
  <c r="E116" i="18"/>
  <c r="D116" i="18"/>
  <c r="E115" i="18"/>
  <c r="D115" i="18"/>
  <c r="E114" i="18"/>
  <c r="D114" i="18"/>
  <c r="E113" i="18"/>
  <c r="D113" i="18"/>
  <c r="E112" i="18"/>
  <c r="D112" i="18"/>
  <c r="E111" i="18"/>
  <c r="D111" i="18"/>
  <c r="E110" i="18"/>
  <c r="D110" i="18"/>
  <c r="E109" i="18"/>
  <c r="D109" i="18"/>
  <c r="E108" i="18"/>
  <c r="D108" i="18"/>
  <c r="E107" i="18"/>
  <c r="D107" i="18"/>
  <c r="E106" i="18"/>
  <c r="D106" i="18"/>
  <c r="E105" i="18"/>
  <c r="D105" i="18"/>
  <c r="E104" i="18"/>
  <c r="D104" i="18"/>
  <c r="E103" i="18"/>
  <c r="D103" i="18"/>
  <c r="E102" i="18"/>
  <c r="D102" i="18"/>
  <c r="E101" i="18"/>
  <c r="D101" i="18"/>
  <c r="E100" i="18"/>
  <c r="D100" i="18"/>
  <c r="E99" i="18"/>
  <c r="D99" i="18"/>
  <c r="E98" i="18"/>
  <c r="D98" i="18"/>
  <c r="E97" i="18"/>
  <c r="D97" i="18"/>
  <c r="E96" i="18"/>
  <c r="D96" i="18"/>
  <c r="E95" i="18"/>
  <c r="D95" i="18"/>
  <c r="E94" i="18"/>
  <c r="D94" i="18"/>
  <c r="E93" i="18"/>
  <c r="D93" i="18"/>
  <c r="E92" i="18"/>
  <c r="D92" i="18"/>
  <c r="E91" i="18"/>
  <c r="D91" i="18"/>
  <c r="E90" i="18"/>
  <c r="D90" i="18"/>
  <c r="E89" i="18"/>
  <c r="D89" i="18"/>
  <c r="E88" i="18"/>
  <c r="D88" i="18"/>
  <c r="E87" i="18"/>
  <c r="D87" i="18"/>
  <c r="E86" i="18"/>
  <c r="D86" i="18"/>
  <c r="E85" i="18"/>
  <c r="D85" i="18"/>
  <c r="E84" i="18"/>
  <c r="D84" i="18"/>
  <c r="E83" i="18"/>
  <c r="D83" i="18"/>
  <c r="E82" i="18"/>
  <c r="D82" i="18"/>
  <c r="E81" i="18"/>
  <c r="D81" i="18"/>
  <c r="E80" i="18"/>
  <c r="D80" i="18"/>
  <c r="E79" i="18"/>
  <c r="D79" i="18"/>
  <c r="E78" i="18"/>
  <c r="D78" i="18"/>
  <c r="E77" i="18"/>
  <c r="D77" i="18"/>
  <c r="E76" i="18"/>
  <c r="D76" i="18"/>
  <c r="E75" i="18"/>
  <c r="D75" i="18"/>
  <c r="E74" i="18"/>
  <c r="D74" i="18"/>
  <c r="E73" i="18"/>
  <c r="D73" i="18"/>
  <c r="E72" i="18"/>
  <c r="D72" i="18"/>
  <c r="E71" i="18"/>
  <c r="D71" i="18"/>
  <c r="E70" i="18"/>
  <c r="D70" i="18"/>
  <c r="E69" i="18"/>
  <c r="D69" i="18"/>
  <c r="E68" i="18"/>
  <c r="D68" i="18"/>
  <c r="E67" i="18"/>
  <c r="D67" i="18"/>
  <c r="E66" i="18"/>
  <c r="D66" i="18"/>
  <c r="E65" i="18"/>
  <c r="D65" i="18"/>
  <c r="E64" i="18"/>
  <c r="D64" i="18"/>
  <c r="E63" i="18"/>
  <c r="D63" i="18"/>
  <c r="E62" i="18"/>
  <c r="D62" i="18"/>
  <c r="E61" i="18"/>
  <c r="D61" i="18"/>
  <c r="E60" i="18"/>
  <c r="D60" i="18"/>
  <c r="E59" i="18"/>
  <c r="D59" i="18"/>
  <c r="E58" i="18"/>
  <c r="D58" i="18"/>
  <c r="E57" i="18"/>
  <c r="D57" i="18"/>
  <c r="E56" i="18"/>
  <c r="D56" i="18"/>
  <c r="E55" i="18"/>
  <c r="D55" i="18"/>
  <c r="E54" i="18"/>
  <c r="D54" i="18"/>
  <c r="E53" i="18"/>
  <c r="D53" i="18"/>
  <c r="E52" i="18"/>
  <c r="D52" i="18"/>
  <c r="E51" i="18"/>
  <c r="D51" i="18"/>
  <c r="E50" i="18"/>
  <c r="D50" i="18"/>
  <c r="E49" i="18"/>
  <c r="D49" i="18"/>
  <c r="E48" i="18"/>
  <c r="D48" i="18"/>
  <c r="E47" i="18"/>
  <c r="D47" i="18"/>
  <c r="E46" i="18"/>
  <c r="D46" i="18"/>
  <c r="E45" i="18"/>
  <c r="D45" i="18"/>
  <c r="E44" i="18"/>
  <c r="D44" i="18"/>
  <c r="E43" i="18"/>
  <c r="D43" i="18"/>
  <c r="E42" i="18"/>
  <c r="D42" i="18"/>
  <c r="E41" i="18"/>
  <c r="D41" i="18"/>
  <c r="E40" i="18"/>
  <c r="D40" i="18"/>
  <c r="E39" i="18"/>
  <c r="D39" i="18"/>
  <c r="E38" i="18"/>
  <c r="D38" i="18"/>
  <c r="E37" i="18"/>
  <c r="D37" i="18"/>
  <c r="E36" i="18"/>
  <c r="D36" i="18"/>
  <c r="E35" i="18"/>
  <c r="D35" i="18"/>
  <c r="E34" i="18"/>
  <c r="D34" i="18"/>
  <c r="E33" i="18"/>
  <c r="D33" i="18"/>
  <c r="E32" i="18"/>
  <c r="D32" i="18"/>
  <c r="E31" i="18"/>
  <c r="D31" i="18"/>
  <c r="E30" i="18"/>
  <c r="D30" i="18"/>
  <c r="E23" i="18"/>
  <c r="D23" i="18"/>
  <c r="E24" i="18"/>
  <c r="D24" i="18"/>
  <c r="E21" i="18"/>
  <c r="D21" i="18"/>
  <c r="E26" i="18"/>
  <c r="D26" i="18"/>
  <c r="D20" i="18"/>
  <c r="D19" i="18"/>
  <c r="D28" i="18"/>
  <c r="D18" i="18"/>
  <c r="D17" i="18"/>
  <c r="D16" i="18"/>
  <c r="D22" i="18"/>
  <c r="D27" i="18"/>
  <c r="Q202" i="18"/>
  <c r="Q201" i="18"/>
  <c r="Q200" i="18"/>
  <c r="Q199" i="18"/>
  <c r="Q198" i="18"/>
  <c r="Q197" i="18"/>
  <c r="Q196" i="18"/>
  <c r="Q195" i="18"/>
  <c r="Q194" i="18"/>
  <c r="Q193" i="18"/>
  <c r="Q192" i="18"/>
  <c r="Q191" i="18"/>
  <c r="Q190" i="18"/>
  <c r="Q189" i="18"/>
  <c r="Q188" i="18"/>
  <c r="Q187" i="18"/>
  <c r="Q186" i="18"/>
  <c r="Q185" i="18"/>
  <c r="Q184" i="18"/>
  <c r="Q183" i="18"/>
  <c r="Q182" i="18"/>
  <c r="Q181" i="18"/>
  <c r="Q180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E18" i="18"/>
  <c r="E17" i="18"/>
  <c r="A91" i="20"/>
  <c r="R50" i="20"/>
  <c r="K142" i="20"/>
  <c r="M81" i="20"/>
  <c r="N211" i="20"/>
  <c r="N114" i="20"/>
  <c r="K193" i="20"/>
  <c r="K96" i="20"/>
  <c r="T69" i="20"/>
  <c r="L183" i="20"/>
  <c r="L169" i="20"/>
  <c r="C39" i="20"/>
  <c r="R143" i="20"/>
  <c r="L143" i="20"/>
  <c r="N176" i="20"/>
  <c r="O63" i="20"/>
  <c r="A205" i="20"/>
  <c r="S217" i="20"/>
  <c r="J206" i="20"/>
  <c r="C92" i="20"/>
  <c r="A68" i="20"/>
  <c r="J97" i="20"/>
  <c r="N63" i="20"/>
  <c r="C31" i="20"/>
  <c r="T170" i="20"/>
  <c r="B165" i="20"/>
  <c r="S79" i="20"/>
  <c r="M83" i="20"/>
  <c r="K179" i="20"/>
  <c r="T34" i="20"/>
  <c r="O101" i="20"/>
  <c r="L66" i="20"/>
  <c r="B54" i="20"/>
  <c r="C74" i="20"/>
  <c r="A112" i="20"/>
  <c r="C51" i="20"/>
  <c r="O64" i="20"/>
  <c r="O30" i="20"/>
  <c r="L35" i="20"/>
  <c r="O25" i="20"/>
  <c r="M20" i="20"/>
  <c r="J222" i="20"/>
  <c r="J153" i="20"/>
  <c r="L116" i="20"/>
  <c r="J96" i="20"/>
  <c r="R97" i="20"/>
  <c r="T156" i="20"/>
  <c r="R79" i="20"/>
  <c r="O159" i="20"/>
  <c r="R25" i="20"/>
  <c r="O196" i="20"/>
  <c r="J71" i="20"/>
  <c r="L147" i="20"/>
  <c r="L178" i="20"/>
  <c r="L58" i="20"/>
  <c r="C72" i="20"/>
  <c r="T208" i="20"/>
  <c r="M117" i="20"/>
  <c r="A92" i="20"/>
  <c r="R152" i="20"/>
  <c r="L220" i="20"/>
  <c r="O31" i="20"/>
  <c r="B29" i="20"/>
  <c r="B127" i="20"/>
  <c r="N145" i="20"/>
  <c r="L217" i="20"/>
  <c r="K217" i="20"/>
  <c r="T145" i="20"/>
  <c r="D230" i="20"/>
  <c r="M82" i="20"/>
  <c r="A228" i="20"/>
  <c r="K194" i="20"/>
  <c r="S120" i="20"/>
  <c r="J50" i="20"/>
  <c r="C48" i="20"/>
  <c r="L117" i="20"/>
  <c r="N203" i="20"/>
  <c r="T16" i="20"/>
  <c r="O178" i="20"/>
  <c r="M67" i="20"/>
  <c r="O16" i="20"/>
  <c r="L90" i="20"/>
  <c r="T179" i="20"/>
  <c r="O17" i="20"/>
  <c r="T193" i="20"/>
  <c r="N212" i="20"/>
  <c r="C209" i="20"/>
  <c r="B114" i="20"/>
  <c r="K128" i="20"/>
  <c r="T166" i="20"/>
  <c r="S147" i="20"/>
  <c r="O229" i="20"/>
  <c r="L127" i="20"/>
  <c r="O170" i="20"/>
  <c r="T146" i="20"/>
  <c r="K70" i="20"/>
  <c r="R221" i="20"/>
  <c r="N159" i="20"/>
  <c r="S105" i="20"/>
  <c r="O42" i="20"/>
  <c r="M111" i="20"/>
  <c r="R168" i="20"/>
  <c r="N89" i="20"/>
  <c r="J203" i="20"/>
  <c r="T217" i="20"/>
  <c r="A98" i="20"/>
  <c r="S140" i="20"/>
  <c r="L151" i="20"/>
  <c r="R159" i="20"/>
  <c r="B64" i="20"/>
  <c r="M105" i="20"/>
  <c r="R76" i="20"/>
  <c r="S39" i="20"/>
  <c r="N213" i="20"/>
  <c r="J39" i="20"/>
  <c r="O111" i="20"/>
  <c r="N95" i="20"/>
  <c r="B55" i="20"/>
  <c r="J226" i="20"/>
  <c r="N41" i="20"/>
  <c r="M97" i="20"/>
  <c r="T151" i="20"/>
  <c r="N200" i="20"/>
  <c r="T84" i="20"/>
  <c r="A129" i="20"/>
  <c r="H229" i="20"/>
  <c r="S194" i="20"/>
  <c r="L115" i="20"/>
  <c r="M43" i="20"/>
  <c r="B88" i="20"/>
  <c r="T63" i="20"/>
  <c r="N85" i="20"/>
  <c r="B214" i="20"/>
  <c r="C33" i="20"/>
  <c r="R102" i="20"/>
  <c r="C114" i="20"/>
  <c r="K120" i="20"/>
  <c r="J140" i="20"/>
  <c r="L214" i="20"/>
  <c r="M17" i="20"/>
  <c r="K15" i="20"/>
  <c r="I231" i="20"/>
  <c r="K129" i="20"/>
  <c r="B100" i="20"/>
  <c r="K160" i="20"/>
  <c r="O191" i="20"/>
  <c r="N16" i="20"/>
  <c r="O157" i="20"/>
  <c r="N54" i="20"/>
  <c r="N155" i="20"/>
  <c r="B217" i="20"/>
  <c r="O142" i="20"/>
  <c r="R104" i="20"/>
  <c r="C223" i="20"/>
  <c r="S209" i="20"/>
  <c r="N204" i="20"/>
  <c r="O179" i="20"/>
  <c r="T111" i="20"/>
  <c r="C55" i="20"/>
  <c r="K151" i="20"/>
  <c r="O201" i="20"/>
  <c r="O185" i="20"/>
  <c r="L222" i="20"/>
  <c r="S205" i="20"/>
  <c r="B70" i="20"/>
  <c r="K220" i="20"/>
  <c r="R180" i="20"/>
  <c r="T65" i="20"/>
  <c r="N91" i="20"/>
  <c r="L190" i="20"/>
  <c r="O217" i="20"/>
  <c r="S107" i="20"/>
  <c r="T56" i="20"/>
  <c r="S72" i="20"/>
  <c r="J217" i="20"/>
  <c r="O200" i="20"/>
  <c r="B189" i="20"/>
  <c r="T28" i="20"/>
  <c r="T37" i="20"/>
  <c r="S61" i="20"/>
  <c r="N92" i="20"/>
  <c r="T50" i="20"/>
  <c r="B123" i="20"/>
  <c r="K210" i="20"/>
  <c r="J190" i="20"/>
  <c r="C135" i="20"/>
  <c r="M45" i="20"/>
  <c r="T25" i="20"/>
  <c r="J161" i="20"/>
  <c r="L48" i="20"/>
  <c r="M226" i="20"/>
  <c r="M85" i="20"/>
  <c r="S45" i="20"/>
  <c r="R44" i="20"/>
  <c r="O149" i="20"/>
  <c r="R175" i="20"/>
  <c r="C147" i="20"/>
  <c r="C201" i="20"/>
  <c r="C105" i="20"/>
  <c r="O225" i="20"/>
  <c r="M123" i="20"/>
  <c r="J103" i="20"/>
  <c r="D228" i="20"/>
  <c r="J48" i="20"/>
  <c r="N199" i="20"/>
  <c r="T31" i="20"/>
  <c r="L209" i="20"/>
  <c r="J139" i="20"/>
  <c r="R27" i="20"/>
  <c r="L212" i="20"/>
  <c r="O92" i="20"/>
  <c r="K199" i="20"/>
  <c r="O172" i="20"/>
  <c r="S138" i="20"/>
  <c r="A76" i="20"/>
  <c r="M31" i="20"/>
  <c r="A144" i="20"/>
  <c r="B167" i="20"/>
  <c r="S141" i="20"/>
  <c r="T130" i="20"/>
  <c r="K83" i="20"/>
  <c r="M68" i="20"/>
  <c r="N56" i="20"/>
  <c r="B187" i="20"/>
  <c r="T133" i="20"/>
  <c r="L121" i="20"/>
  <c r="K143" i="20"/>
  <c r="K33" i="20"/>
  <c r="T178" i="20"/>
  <c r="R89" i="20"/>
  <c r="R81" i="20"/>
  <c r="N15" i="20"/>
  <c r="K135" i="20"/>
  <c r="S97" i="20"/>
  <c r="J159" i="20"/>
  <c r="A120" i="20"/>
  <c r="R72" i="20"/>
  <c r="K32" i="20"/>
  <c r="O168" i="20"/>
  <c r="L210" i="20"/>
  <c r="T162" i="20"/>
  <c r="O104" i="20"/>
  <c r="A28" i="20"/>
  <c r="R49" i="20"/>
  <c r="L135" i="20"/>
  <c r="B83" i="20"/>
  <c r="J193" i="20"/>
  <c r="A148" i="20"/>
  <c r="M188" i="20"/>
  <c r="J47" i="20"/>
  <c r="N165" i="20"/>
  <c r="K139" i="20"/>
  <c r="L122" i="20"/>
  <c r="J119" i="20"/>
  <c r="S36" i="20"/>
  <c r="B201" i="20"/>
  <c r="R90" i="20"/>
  <c r="M46" i="20"/>
  <c r="M90" i="20"/>
  <c r="A153" i="20"/>
  <c r="O47" i="20"/>
  <c r="L141" i="20"/>
  <c r="T142" i="20"/>
  <c r="B120" i="20"/>
  <c r="O208" i="20"/>
  <c r="A189" i="20"/>
  <c r="L69" i="20"/>
  <c r="K69" i="20"/>
  <c r="O147" i="20"/>
  <c r="C97" i="20"/>
  <c r="J89" i="20"/>
  <c r="A59" i="20"/>
  <c r="R228" i="20"/>
  <c r="N98" i="20"/>
  <c r="J64" i="20"/>
  <c r="S93" i="20"/>
  <c r="J76" i="20"/>
  <c r="S127" i="20"/>
  <c r="T72" i="20"/>
  <c r="O189" i="20"/>
  <c r="L52" i="20"/>
  <c r="C128" i="20"/>
  <c r="O210" i="20"/>
  <c r="T110" i="20"/>
  <c r="O83" i="20"/>
  <c r="T147" i="20"/>
  <c r="K147" i="20"/>
  <c r="O160" i="20"/>
  <c r="J175" i="20"/>
  <c r="L102" i="20"/>
  <c r="B184" i="20"/>
  <c r="R64" i="20"/>
  <c r="M70" i="20"/>
  <c r="R199" i="20"/>
  <c r="Q231" i="20"/>
  <c r="B36" i="20"/>
  <c r="A152" i="20"/>
  <c r="B180" i="20"/>
  <c r="T70" i="20"/>
  <c r="O220" i="20"/>
  <c r="N28" i="20"/>
  <c r="L198" i="20"/>
  <c r="A53" i="20"/>
  <c r="N184" i="20"/>
  <c r="R210" i="20"/>
  <c r="C47" i="20"/>
  <c r="K145" i="20"/>
  <c r="N116" i="20"/>
  <c r="B17" i="20"/>
  <c r="N230" i="20"/>
  <c r="S30" i="20"/>
  <c r="T75" i="20"/>
  <c r="J212" i="20"/>
  <c r="R88" i="20"/>
  <c r="B117" i="20"/>
  <c r="N209" i="20"/>
  <c r="S174" i="20"/>
  <c r="S168" i="20"/>
  <c r="B72" i="20"/>
  <c r="O51" i="20"/>
  <c r="N80" i="20"/>
  <c r="S149" i="20"/>
  <c r="B35" i="20"/>
  <c r="M100" i="20"/>
  <c r="B194" i="20"/>
  <c r="B75" i="20"/>
  <c r="B121" i="20"/>
  <c r="S221" i="20"/>
  <c r="N162" i="20"/>
  <c r="N111" i="20"/>
  <c r="N101" i="20"/>
  <c r="R103" i="20"/>
  <c r="S100" i="20"/>
  <c r="L25" i="20"/>
  <c r="K185" i="20"/>
  <c r="K85" i="20"/>
  <c r="B73" i="20"/>
  <c r="J155" i="20"/>
  <c r="S33" i="20"/>
  <c r="S176" i="20"/>
  <c r="N86" i="20"/>
  <c r="M128" i="20"/>
  <c r="S103" i="20"/>
  <c r="K149" i="20"/>
  <c r="S131" i="20"/>
  <c r="B32" i="20"/>
  <c r="K81" i="20"/>
  <c r="C222" i="20"/>
  <c r="C49" i="20"/>
  <c r="S145" i="20"/>
  <c r="M55" i="20"/>
  <c r="B50" i="20"/>
  <c r="L75" i="20"/>
  <c r="N158" i="20"/>
  <c r="J116" i="20"/>
  <c r="B122" i="20"/>
  <c r="O50" i="20"/>
  <c r="K106" i="20"/>
  <c r="M109" i="20"/>
  <c r="A196" i="20"/>
  <c r="L76" i="20"/>
  <c r="S210" i="20"/>
  <c r="K164" i="20"/>
  <c r="A174" i="20"/>
  <c r="J123" i="20"/>
  <c r="J126" i="20"/>
  <c r="B196" i="20"/>
  <c r="T180" i="20"/>
  <c r="J106" i="20"/>
  <c r="J53" i="20"/>
  <c r="R24" i="20"/>
  <c r="B20" i="20"/>
  <c r="R75" i="20"/>
  <c r="C198" i="20"/>
  <c r="A188" i="20"/>
  <c r="M76" i="20"/>
  <c r="L111" i="20"/>
  <c r="C230" i="20"/>
  <c r="K27" i="20"/>
  <c r="L71" i="20"/>
  <c r="B208" i="20"/>
  <c r="B43" i="20"/>
  <c r="M69" i="20"/>
  <c r="N90" i="20"/>
  <c r="N88" i="20"/>
  <c r="K116" i="20"/>
  <c r="J105" i="20"/>
  <c r="S31" i="20"/>
  <c r="T141" i="20"/>
  <c r="M33" i="20"/>
  <c r="T139" i="20"/>
  <c r="N167" i="20"/>
  <c r="M181" i="20"/>
  <c r="A154" i="20"/>
  <c r="C130" i="20"/>
  <c r="C163" i="20"/>
  <c r="C179" i="20"/>
  <c r="K44" i="20"/>
  <c r="M203" i="20"/>
  <c r="M18" i="20"/>
  <c r="T62" i="20"/>
  <c r="S125" i="20"/>
  <c r="K176" i="20"/>
  <c r="R214" i="20"/>
  <c r="T229" i="20"/>
  <c r="R202" i="20"/>
  <c r="S16" i="20"/>
  <c r="N73" i="20"/>
  <c r="T83" i="20"/>
  <c r="J166" i="20"/>
  <c r="O61" i="20"/>
  <c r="K56" i="20"/>
  <c r="R122" i="20"/>
  <c r="C57" i="20"/>
  <c r="C113" i="20"/>
  <c r="K166" i="20"/>
  <c r="B47" i="20"/>
  <c r="L62" i="20"/>
  <c r="N103" i="20"/>
  <c r="M148" i="20"/>
  <c r="L218" i="20"/>
  <c r="J207" i="20"/>
  <c r="B111" i="20"/>
  <c r="S134" i="20"/>
  <c r="T209" i="20"/>
  <c r="S231" i="20"/>
  <c r="K100" i="20"/>
  <c r="A80" i="20"/>
  <c r="N120" i="20"/>
  <c r="N65" i="20"/>
  <c r="C93" i="20"/>
  <c r="J107" i="20"/>
  <c r="A194" i="20"/>
  <c r="N47" i="20"/>
  <c r="M44" i="20"/>
  <c r="T155" i="20"/>
  <c r="K57" i="20"/>
  <c r="C46" i="20"/>
  <c r="K75" i="20"/>
  <c r="L24" i="20"/>
  <c r="N32" i="20"/>
  <c r="A171" i="20"/>
  <c r="M149" i="20"/>
  <c r="C42" i="20"/>
  <c r="J111" i="20"/>
  <c r="C203" i="20"/>
  <c r="N152" i="20"/>
  <c r="A61" i="20"/>
  <c r="B40" i="20"/>
  <c r="K155" i="20"/>
  <c r="A42" i="20"/>
  <c r="O195" i="20"/>
  <c r="O154" i="20"/>
  <c r="S162" i="20"/>
  <c r="L155" i="20"/>
  <c r="S117" i="20"/>
  <c r="L37" i="20"/>
  <c r="L98" i="20"/>
  <c r="O207" i="20"/>
  <c r="T77" i="20"/>
  <c r="O76" i="20"/>
  <c r="K37" i="20"/>
  <c r="B25" i="20"/>
  <c r="L145" i="20"/>
  <c r="K174" i="20"/>
  <c r="A222" i="20"/>
  <c r="M41" i="20"/>
  <c r="K78" i="20"/>
  <c r="M84" i="20"/>
  <c r="B160" i="20"/>
  <c r="A119" i="20"/>
  <c r="O188" i="20"/>
  <c r="J182" i="20"/>
  <c r="R183" i="20"/>
  <c r="K198" i="20"/>
  <c r="N144" i="20"/>
  <c r="L142" i="20"/>
  <c r="M35" i="20"/>
  <c r="R62" i="20"/>
  <c r="A230" i="20"/>
  <c r="S163" i="20"/>
  <c r="N164" i="20"/>
  <c r="S119" i="20"/>
  <c r="S178" i="20"/>
  <c r="O197" i="20"/>
  <c r="G229" i="20"/>
  <c r="B143" i="20"/>
  <c r="C219" i="20"/>
  <c r="T134" i="20"/>
  <c r="S114" i="20"/>
  <c r="N186" i="20"/>
  <c r="K86" i="20"/>
  <c r="K53" i="20"/>
  <c r="Q230" i="20"/>
  <c r="R40" i="20"/>
  <c r="C158" i="20"/>
  <c r="S113" i="20"/>
  <c r="L106" i="20"/>
  <c r="K146" i="20"/>
  <c r="R123" i="20"/>
  <c r="L204" i="20"/>
  <c r="K157" i="20"/>
  <c r="O112" i="20"/>
  <c r="O118" i="20"/>
  <c r="O143" i="20"/>
  <c r="A225" i="20"/>
  <c r="E229" i="20"/>
  <c r="T205" i="20"/>
  <c r="K54" i="20"/>
  <c r="O163" i="20"/>
  <c r="S70" i="20"/>
  <c r="C194" i="20"/>
  <c r="J150" i="20"/>
  <c r="T231" i="20"/>
  <c r="C28" i="20"/>
  <c r="K22" i="20"/>
  <c r="R113" i="20"/>
  <c r="R32" i="20"/>
  <c r="M101" i="20"/>
  <c r="N33" i="20"/>
  <c r="C23" i="20"/>
  <c r="S158" i="20"/>
  <c r="S225" i="20"/>
  <c r="S169" i="20"/>
  <c r="K231" i="20"/>
  <c r="A208" i="20"/>
  <c r="L31" i="20"/>
  <c r="L81" i="20"/>
  <c r="J92" i="20"/>
  <c r="O119" i="20"/>
  <c r="O55" i="20"/>
  <c r="K113" i="20"/>
  <c r="K112" i="20"/>
  <c r="J54" i="20"/>
  <c r="T182" i="20"/>
  <c r="M50" i="20"/>
  <c r="T108" i="20"/>
  <c r="N68" i="20"/>
  <c r="N58" i="20"/>
  <c r="T131" i="20"/>
  <c r="M189" i="20"/>
  <c r="S155" i="20"/>
  <c r="K74" i="20"/>
  <c r="K118" i="20"/>
  <c r="O103" i="20"/>
  <c r="R190" i="20"/>
  <c r="B99" i="20"/>
  <c r="R59" i="20"/>
  <c r="O77" i="20"/>
  <c r="C177" i="20"/>
  <c r="K101" i="20"/>
  <c r="A20" i="20"/>
  <c r="B224" i="20"/>
  <c r="T23" i="20"/>
  <c r="T221" i="20"/>
  <c r="N207" i="20"/>
  <c r="C45" i="20"/>
  <c r="C160" i="20"/>
  <c r="K87" i="20"/>
  <c r="A75" i="20"/>
  <c r="J172" i="20"/>
  <c r="M142" i="20"/>
  <c r="L114" i="20"/>
  <c r="R111" i="20"/>
  <c r="R56" i="20"/>
  <c r="R116" i="20"/>
  <c r="B26" i="20"/>
  <c r="L54" i="20"/>
  <c r="M93" i="20"/>
  <c r="T129" i="20"/>
  <c r="S152" i="20"/>
  <c r="K30" i="20"/>
  <c r="C120" i="20"/>
  <c r="C54" i="20"/>
  <c r="C183" i="20"/>
  <c r="K104" i="20"/>
  <c r="K49" i="20"/>
  <c r="S229" i="20"/>
  <c r="R51" i="20"/>
  <c r="O183" i="20"/>
  <c r="M154" i="20"/>
  <c r="N142" i="20"/>
  <c r="T64" i="20"/>
  <c r="M133" i="20"/>
  <c r="L99" i="20"/>
  <c r="S215" i="20"/>
  <c r="R19" i="20"/>
  <c r="L123" i="20"/>
  <c r="S166" i="20"/>
  <c r="J51" i="20"/>
  <c r="C186" i="20"/>
  <c r="N59" i="20"/>
  <c r="O218" i="20"/>
  <c r="N148" i="20"/>
  <c r="A15" i="20"/>
  <c r="A132" i="20"/>
  <c r="N224" i="20"/>
  <c r="S184" i="20"/>
  <c r="M53" i="20"/>
  <c r="C151" i="20"/>
  <c r="A147" i="20"/>
  <c r="N146" i="20"/>
  <c r="O171" i="20"/>
  <c r="S177" i="20"/>
  <c r="L46" i="20"/>
  <c r="T123" i="20"/>
  <c r="N52" i="20"/>
  <c r="R222" i="20"/>
  <c r="R119" i="20"/>
  <c r="C20" i="20"/>
  <c r="B134" i="20"/>
  <c r="C112" i="20"/>
  <c r="B16" i="20"/>
  <c r="T169" i="20"/>
  <c r="L44" i="20"/>
  <c r="M196" i="20"/>
  <c r="J214" i="20"/>
  <c r="A151" i="20"/>
  <c r="O116" i="20"/>
  <c r="T219" i="20"/>
  <c r="L165" i="20"/>
  <c r="M193" i="20"/>
  <c r="O137" i="20"/>
  <c r="O215" i="20"/>
  <c r="M40" i="20"/>
  <c r="O204" i="20"/>
  <c r="A83" i="20"/>
  <c r="M166" i="20"/>
  <c r="O21" i="20"/>
  <c r="S123" i="20"/>
  <c r="O153" i="20"/>
  <c r="B115" i="20"/>
  <c r="B108" i="20"/>
  <c r="T140" i="20"/>
  <c r="J127" i="20"/>
  <c r="N202" i="20"/>
  <c r="B53" i="20"/>
  <c r="R139" i="20"/>
  <c r="R223" i="20"/>
  <c r="N70" i="20"/>
  <c r="T59" i="20"/>
  <c r="T41" i="20"/>
  <c r="A23" i="20"/>
  <c r="B210" i="20"/>
  <c r="N34" i="20"/>
  <c r="T157" i="20"/>
  <c r="C168" i="20"/>
  <c r="C156" i="20"/>
  <c r="J196" i="20"/>
  <c r="A200" i="20"/>
  <c r="P231" i="20"/>
  <c r="M143" i="20"/>
  <c r="C29" i="20"/>
  <c r="L120" i="20"/>
  <c r="S192" i="20"/>
  <c r="A107" i="20"/>
  <c r="B44" i="20"/>
  <c r="N115" i="20"/>
  <c r="G230" i="20"/>
  <c r="O184" i="20"/>
  <c r="J93" i="20"/>
  <c r="B81" i="20"/>
  <c r="T188" i="20"/>
  <c r="A62" i="20"/>
  <c r="R151" i="20"/>
  <c r="S48" i="20"/>
  <c r="B84" i="20"/>
  <c r="L94" i="20"/>
  <c r="R109" i="20"/>
  <c r="A145" i="20"/>
  <c r="O132" i="20"/>
  <c r="R132" i="20"/>
  <c r="K227" i="20"/>
  <c r="L110" i="20"/>
  <c r="A65" i="20"/>
  <c r="C207" i="20"/>
  <c r="A57" i="20"/>
  <c r="O186" i="20"/>
  <c r="M173" i="20"/>
  <c r="S74" i="20"/>
  <c r="M77" i="20"/>
  <c r="A163" i="20"/>
  <c r="K34" i="20"/>
  <c r="T164" i="20"/>
  <c r="J229" i="20"/>
  <c r="O226" i="20"/>
  <c r="N38" i="20"/>
  <c r="N48" i="20"/>
  <c r="J85" i="20"/>
  <c r="B179" i="20"/>
  <c r="M32" i="20"/>
  <c r="O75" i="20"/>
  <c r="A84" i="20"/>
  <c r="B128" i="20"/>
  <c r="A170" i="20"/>
  <c r="M227" i="20"/>
  <c r="T44" i="20"/>
  <c r="B231" i="20"/>
  <c r="A211" i="20"/>
  <c r="B39" i="20"/>
  <c r="L88" i="20"/>
  <c r="C43" i="20"/>
  <c r="M208" i="20"/>
  <c r="N61" i="20"/>
  <c r="S182" i="20"/>
  <c r="K103" i="20"/>
  <c r="R108" i="20"/>
  <c r="A160" i="20"/>
  <c r="S132" i="20"/>
  <c r="O115" i="20"/>
  <c r="L84" i="20"/>
  <c r="J77" i="20"/>
  <c r="J99" i="20"/>
  <c r="J186" i="20"/>
  <c r="O222" i="20"/>
  <c r="M51" i="20"/>
  <c r="L185" i="20"/>
  <c r="C73" i="20"/>
  <c r="T211" i="20"/>
  <c r="K127" i="20"/>
  <c r="J170" i="20"/>
  <c r="S181" i="20"/>
  <c r="A149" i="20"/>
  <c r="A139" i="20"/>
  <c r="T48" i="20"/>
  <c r="T220" i="20"/>
  <c r="L95" i="20"/>
  <c r="M88" i="20"/>
  <c r="B116" i="20"/>
  <c r="R229" i="20"/>
  <c r="S37" i="20"/>
  <c r="R204" i="20"/>
  <c r="L166" i="20"/>
  <c r="R208" i="20"/>
  <c r="A72" i="20"/>
  <c r="T79" i="20"/>
  <c r="B147" i="20"/>
  <c r="A106" i="20"/>
  <c r="C139" i="20"/>
  <c r="B57" i="20"/>
  <c r="N196" i="20"/>
  <c r="R231" i="20"/>
  <c r="S128" i="20"/>
  <c r="N169" i="20"/>
  <c r="J52" i="20"/>
  <c r="L144" i="20"/>
  <c r="T201" i="20"/>
  <c r="N72" i="20"/>
  <c r="B132" i="20"/>
  <c r="J149" i="20"/>
  <c r="T61" i="20"/>
  <c r="O152" i="20"/>
  <c r="B103" i="20"/>
  <c r="A226" i="20"/>
  <c r="S43" i="20"/>
  <c r="C104" i="20"/>
  <c r="J62" i="20"/>
  <c r="B178" i="20"/>
  <c r="M47" i="20"/>
  <c r="A79" i="20"/>
  <c r="B159" i="20"/>
  <c r="R26" i="20"/>
  <c r="K178" i="20"/>
  <c r="M220" i="20"/>
  <c r="K18" i="20"/>
  <c r="M228" i="20"/>
  <c r="O44" i="20"/>
  <c r="A131" i="20"/>
  <c r="B68" i="20"/>
  <c r="S121" i="20"/>
  <c r="M156" i="20"/>
  <c r="T76" i="20"/>
  <c r="B168" i="20"/>
  <c r="B164" i="20"/>
  <c r="S216" i="20"/>
  <c r="K213" i="20"/>
  <c r="M64" i="20"/>
  <c r="O40" i="20"/>
  <c r="L30" i="20"/>
  <c r="A127" i="20"/>
  <c r="S24" i="20"/>
  <c r="S77" i="20"/>
  <c r="J167" i="20"/>
  <c r="M134" i="20"/>
  <c r="R57" i="20"/>
  <c r="S160" i="20"/>
  <c r="C87" i="20"/>
  <c r="L131" i="20"/>
  <c r="S173" i="20"/>
  <c r="O90" i="20"/>
  <c r="N57" i="20"/>
  <c r="R126" i="20"/>
  <c r="K168" i="20"/>
  <c r="L15" i="20"/>
  <c r="K122" i="20"/>
  <c r="J84" i="20"/>
  <c r="K136" i="20"/>
  <c r="C119" i="20"/>
  <c r="L73" i="20"/>
  <c r="T54" i="20"/>
  <c r="T226" i="20"/>
  <c r="T174" i="20"/>
  <c r="S175" i="20"/>
  <c r="N110" i="20"/>
  <c r="C226" i="20"/>
  <c r="O211" i="20"/>
  <c r="T230" i="20"/>
  <c r="B92" i="20"/>
  <c r="T100" i="20"/>
  <c r="O165" i="20"/>
  <c r="A117" i="20"/>
  <c r="J57" i="20"/>
  <c r="B45" i="20"/>
  <c r="B80" i="20"/>
  <c r="N17" i="20"/>
  <c r="I229" i="20"/>
  <c r="L61" i="20"/>
  <c r="C167" i="20"/>
  <c r="A221" i="20"/>
  <c r="A177" i="20"/>
  <c r="M72" i="20"/>
  <c r="A78" i="20"/>
  <c r="B82" i="20"/>
  <c r="K72" i="20"/>
  <c r="T49" i="20"/>
  <c r="K126" i="20"/>
  <c r="L132" i="20"/>
  <c r="O60" i="20"/>
  <c r="K95" i="20"/>
  <c r="K108" i="20"/>
  <c r="J208" i="20"/>
  <c r="N119" i="20"/>
  <c r="K43" i="20"/>
  <c r="T132" i="20"/>
  <c r="J37" i="20"/>
  <c r="A125" i="20"/>
  <c r="A48" i="20"/>
  <c r="C69" i="20"/>
  <c r="N78" i="20"/>
  <c r="C197" i="20"/>
  <c r="M122" i="20"/>
  <c r="S183" i="20"/>
  <c r="B41" i="20"/>
  <c r="K93" i="20"/>
  <c r="C71" i="20"/>
  <c r="N227" i="20"/>
  <c r="N226" i="20"/>
  <c r="M15" i="20"/>
  <c r="A104" i="20"/>
  <c r="B198" i="20"/>
  <c r="J121" i="20"/>
  <c r="N30" i="20"/>
  <c r="L223" i="20"/>
  <c r="S197" i="20"/>
  <c r="C84" i="20"/>
  <c r="N188" i="20"/>
  <c r="A66" i="20"/>
  <c r="M192" i="20"/>
  <c r="T148" i="20"/>
  <c r="A162" i="20"/>
  <c r="B215" i="20"/>
  <c r="T171" i="20"/>
  <c r="N127" i="20"/>
  <c r="M207" i="20"/>
  <c r="B158" i="20"/>
  <c r="C95" i="20"/>
  <c r="K119" i="20"/>
  <c r="L181" i="20"/>
  <c r="M182" i="20"/>
  <c r="B31" i="20"/>
  <c r="R99" i="20"/>
  <c r="H231" i="20"/>
  <c r="L196" i="20"/>
  <c r="J86" i="20"/>
  <c r="J65" i="20"/>
  <c r="K50" i="20"/>
  <c r="T92" i="20"/>
  <c r="J35" i="20"/>
  <c r="L208" i="20"/>
  <c r="C118" i="20"/>
  <c r="L230" i="20"/>
  <c r="A90" i="20"/>
  <c r="C35" i="20"/>
  <c r="L192" i="20"/>
  <c r="N177" i="20"/>
  <c r="A54" i="20"/>
  <c r="A45" i="20"/>
  <c r="C150" i="20"/>
  <c r="L231" i="20"/>
  <c r="L97" i="20"/>
  <c r="S129" i="20"/>
  <c r="J60" i="20"/>
  <c r="C212" i="20"/>
  <c r="C182" i="20"/>
  <c r="N219" i="20"/>
  <c r="N19" i="20"/>
  <c r="R155" i="20"/>
  <c r="C53" i="20"/>
  <c r="N77" i="20"/>
  <c r="R21" i="20"/>
  <c r="N194" i="20"/>
  <c r="R23" i="20"/>
  <c r="S218" i="20"/>
  <c r="O28" i="20"/>
  <c r="O98" i="20"/>
  <c r="C108" i="20"/>
  <c r="O113" i="20"/>
  <c r="B96" i="20"/>
  <c r="O148" i="20"/>
  <c r="B202" i="20"/>
  <c r="J198" i="20"/>
  <c r="A197" i="20"/>
  <c r="K130" i="20"/>
  <c r="O93" i="20"/>
  <c r="R71" i="20"/>
  <c r="I230" i="20"/>
  <c r="T90" i="20"/>
  <c r="T81" i="20"/>
  <c r="S60" i="20"/>
  <c r="K67" i="20"/>
  <c r="B62" i="20"/>
  <c r="A191" i="20"/>
  <c r="M54" i="20"/>
  <c r="T121" i="20"/>
  <c r="A140" i="20"/>
  <c r="B169" i="20"/>
  <c r="C229" i="20"/>
  <c r="N197" i="20"/>
  <c r="C44" i="20"/>
  <c r="L119" i="20"/>
  <c r="T218" i="20"/>
  <c r="S59" i="20"/>
  <c r="K79" i="20"/>
  <c r="C91" i="20"/>
  <c r="M91" i="20"/>
  <c r="L221" i="20"/>
  <c r="N62" i="20"/>
  <c r="J192" i="20"/>
  <c r="K132" i="20"/>
  <c r="T58" i="20"/>
  <c r="N46" i="20"/>
  <c r="R128" i="20"/>
  <c r="T105" i="20"/>
  <c r="S165" i="20"/>
  <c r="M94" i="20"/>
  <c r="A109" i="20"/>
  <c r="N26" i="20"/>
  <c r="T78" i="20"/>
  <c r="B125" i="20"/>
  <c r="B175" i="20"/>
  <c r="R93" i="20"/>
  <c r="L164" i="20"/>
  <c r="P230" i="20"/>
  <c r="J91" i="20"/>
  <c r="R187" i="20"/>
  <c r="C18" i="20"/>
  <c r="C65" i="20"/>
  <c r="O68" i="20"/>
  <c r="A213" i="20"/>
  <c r="A203" i="20"/>
  <c r="M36" i="20"/>
  <c r="L34" i="20"/>
  <c r="T128" i="20"/>
  <c r="N168" i="20"/>
  <c r="J33" i="20"/>
  <c r="O99" i="20"/>
  <c r="R100" i="20"/>
  <c r="L191" i="20"/>
  <c r="C21" i="20"/>
  <c r="M169" i="20"/>
  <c r="A190" i="20"/>
  <c r="S88" i="20"/>
  <c r="N126" i="20"/>
  <c r="O169" i="20"/>
  <c r="T206" i="20"/>
  <c r="T173" i="20"/>
  <c r="S220" i="20"/>
  <c r="B124" i="20"/>
  <c r="K191" i="20"/>
  <c r="T190" i="20"/>
  <c r="S139" i="20"/>
  <c r="K58" i="20"/>
  <c r="N29" i="20"/>
  <c r="R94" i="20"/>
  <c r="L146" i="20"/>
  <c r="M184" i="20"/>
  <c r="K224" i="20"/>
  <c r="L177" i="20"/>
  <c r="R124" i="20"/>
  <c r="M28" i="20"/>
  <c r="Q229" i="20"/>
  <c r="B177" i="20"/>
  <c r="R135" i="20"/>
  <c r="O56" i="20"/>
  <c r="M159" i="20"/>
  <c r="K175" i="20"/>
  <c r="S76" i="20"/>
  <c r="K131" i="20"/>
  <c r="R30" i="20"/>
  <c r="J169" i="20"/>
  <c r="J225" i="20"/>
  <c r="O72" i="20"/>
  <c r="N149" i="20"/>
  <c r="N130" i="20"/>
  <c r="L125" i="20"/>
  <c r="J231" i="20"/>
  <c r="T225" i="20"/>
  <c r="T215" i="20"/>
  <c r="T120" i="20"/>
  <c r="C210" i="20"/>
  <c r="N191" i="20"/>
  <c r="K97" i="20"/>
  <c r="S49" i="20"/>
  <c r="M48" i="20"/>
  <c r="T135" i="20"/>
  <c r="C34" i="20"/>
  <c r="J173" i="20"/>
  <c r="B199" i="20"/>
  <c r="R147" i="20"/>
  <c r="C22" i="20"/>
  <c r="S69" i="20"/>
  <c r="C213" i="20"/>
  <c r="T102" i="20"/>
  <c r="B205" i="20"/>
  <c r="B90" i="20"/>
  <c r="R188" i="20"/>
  <c r="D229" i="20"/>
  <c r="N22" i="20"/>
  <c r="L60" i="20"/>
  <c r="C199" i="20"/>
  <c r="B63" i="20"/>
  <c r="A113" i="20"/>
  <c r="O125" i="20"/>
  <c r="R58" i="20"/>
  <c r="A24" i="20"/>
  <c r="C162" i="20"/>
  <c r="N220" i="20"/>
  <c r="L85" i="20"/>
  <c r="R177" i="20"/>
  <c r="M141" i="20"/>
  <c r="L65" i="20"/>
  <c r="O48" i="20"/>
  <c r="J227" i="20"/>
  <c r="N139" i="20"/>
  <c r="R140" i="20"/>
  <c r="A166" i="20"/>
  <c r="M107" i="20"/>
  <c r="J162" i="20"/>
  <c r="C52" i="20"/>
  <c r="L83" i="20"/>
  <c r="K170" i="20"/>
  <c r="K225" i="20"/>
  <c r="S222" i="20"/>
  <c r="C231" i="20"/>
  <c r="B228" i="20"/>
  <c r="L22" i="20"/>
  <c r="K63" i="20"/>
  <c r="B28" i="20"/>
  <c r="O52" i="20"/>
  <c r="O58" i="20"/>
  <c r="K114" i="20"/>
  <c r="B135" i="20"/>
  <c r="K121" i="20"/>
  <c r="B129" i="20"/>
  <c r="L28" i="20"/>
  <c r="M183" i="20"/>
  <c r="S156" i="20"/>
  <c r="K173" i="20"/>
  <c r="R16" i="20"/>
  <c r="A56" i="20"/>
  <c r="J59" i="20"/>
  <c r="R36" i="20"/>
  <c r="O32" i="20"/>
  <c r="S180" i="20"/>
  <c r="B157" i="20"/>
  <c r="C110" i="20"/>
  <c r="T22" i="20"/>
  <c r="B195" i="20"/>
  <c r="R174" i="20"/>
  <c r="M164" i="20"/>
  <c r="A193" i="20"/>
  <c r="K92" i="20"/>
  <c r="B148" i="20"/>
  <c r="R146" i="20"/>
  <c r="R120" i="20"/>
  <c r="S67" i="20"/>
  <c r="C19" i="20"/>
  <c r="L32" i="20"/>
  <c r="B71" i="20"/>
  <c r="O134" i="20"/>
  <c r="B171" i="20"/>
  <c r="S51" i="20"/>
  <c r="R67" i="20"/>
  <c r="M49" i="20"/>
  <c r="K134" i="20"/>
  <c r="B213" i="20"/>
  <c r="B34" i="20"/>
  <c r="C166" i="20"/>
  <c r="C80" i="20"/>
  <c r="L82" i="20"/>
  <c r="C131" i="20"/>
  <c r="S153" i="20"/>
  <c r="O135" i="20"/>
  <c r="N128" i="20"/>
  <c r="T115" i="20"/>
  <c r="K62" i="20"/>
  <c r="B52" i="20"/>
  <c r="C78" i="20"/>
  <c r="R85" i="20"/>
  <c r="T46" i="20"/>
  <c r="T18" i="20"/>
  <c r="L33" i="20"/>
  <c r="N173" i="20"/>
  <c r="L87" i="20"/>
  <c r="T198" i="20"/>
  <c r="J74" i="20"/>
  <c r="S26" i="20"/>
  <c r="M52" i="20"/>
  <c r="B222" i="20"/>
  <c r="L148" i="20"/>
  <c r="S126" i="20"/>
  <c r="K229" i="20"/>
  <c r="Q228" i="20"/>
  <c r="C76" i="20"/>
  <c r="M186" i="20"/>
  <c r="J221" i="20"/>
  <c r="S191" i="20"/>
  <c r="M224" i="20"/>
  <c r="B95" i="20"/>
  <c r="N40" i="20"/>
  <c r="O114" i="20"/>
  <c r="O100" i="20"/>
  <c r="B101" i="20"/>
  <c r="R218" i="20"/>
  <c r="T45" i="20"/>
  <c r="L187" i="20"/>
  <c r="M103" i="20"/>
  <c r="K84" i="20"/>
  <c r="O227" i="20"/>
  <c r="B140" i="20"/>
  <c r="N109" i="20"/>
  <c r="J83" i="20"/>
  <c r="B98" i="20"/>
  <c r="S87" i="20"/>
  <c r="A99" i="20"/>
  <c r="C81" i="20"/>
  <c r="O151" i="20"/>
  <c r="S214" i="20"/>
  <c r="T93" i="20"/>
  <c r="M75" i="20"/>
  <c r="K59" i="20"/>
  <c r="A34" i="20"/>
  <c r="K66" i="20"/>
  <c r="M161" i="20"/>
  <c r="C224" i="20"/>
  <c r="O173" i="20"/>
  <c r="K24" i="20"/>
  <c r="A138" i="20"/>
  <c r="R150" i="20"/>
  <c r="B33" i="20"/>
  <c r="N25" i="20"/>
  <c r="R37" i="20"/>
  <c r="J135" i="20"/>
  <c r="B185" i="20"/>
  <c r="L41" i="20"/>
  <c r="T224" i="20"/>
  <c r="A223" i="20"/>
  <c r="B49" i="20"/>
  <c r="S159" i="20"/>
  <c r="E231" i="20"/>
  <c r="L193" i="20"/>
  <c r="R166" i="20"/>
  <c r="M87" i="20"/>
  <c r="M57" i="20"/>
  <c r="R66" i="20"/>
  <c r="C180" i="20"/>
  <c r="R219" i="20"/>
  <c r="B18" i="20"/>
  <c r="R83" i="20"/>
  <c r="A121" i="20"/>
  <c r="C145" i="20"/>
  <c r="C173" i="20"/>
  <c r="M27" i="20"/>
  <c r="K35" i="20"/>
  <c r="T20" i="20"/>
  <c r="K187" i="20"/>
  <c r="R131" i="20"/>
  <c r="T223" i="20"/>
  <c r="B223" i="20"/>
  <c r="A111" i="20"/>
  <c r="N201" i="20"/>
  <c r="R98" i="20"/>
  <c r="N229" i="20"/>
  <c r="C61" i="20"/>
  <c r="L137" i="20"/>
  <c r="L173" i="20"/>
  <c r="K201" i="20"/>
  <c r="E228" i="20"/>
  <c r="B227" i="20"/>
  <c r="K188" i="20"/>
  <c r="S23" i="20"/>
  <c r="B219" i="20"/>
  <c r="K172" i="20"/>
  <c r="A207" i="20"/>
  <c r="M185" i="20"/>
  <c r="B170" i="20"/>
  <c r="R15" i="20"/>
  <c r="N81" i="20"/>
  <c r="A55" i="20"/>
  <c r="K218" i="20"/>
  <c r="C152" i="20"/>
  <c r="O27" i="20"/>
  <c r="K17" i="20"/>
  <c r="L113" i="20"/>
  <c r="M30" i="20"/>
  <c r="A130" i="20"/>
  <c r="B142" i="20"/>
  <c r="M163" i="20"/>
  <c r="A123" i="20"/>
  <c r="N192" i="20"/>
  <c r="K42" i="20"/>
  <c r="L227" i="20"/>
  <c r="A128" i="20"/>
  <c r="B203" i="20"/>
  <c r="N190" i="20"/>
  <c r="O62" i="20"/>
  <c r="S65" i="20"/>
  <c r="L38" i="20"/>
  <c r="B192" i="20"/>
  <c r="B61" i="20"/>
  <c r="A27" i="20"/>
  <c r="B186" i="20"/>
  <c r="S154" i="20"/>
  <c r="L167" i="20"/>
  <c r="O158" i="20"/>
  <c r="M140" i="20"/>
  <c r="A46" i="20"/>
  <c r="O54" i="20"/>
  <c r="J117" i="20"/>
  <c r="J72" i="20"/>
  <c r="N122" i="20"/>
  <c r="A143" i="20"/>
  <c r="R18" i="20"/>
  <c r="O97" i="20"/>
  <c r="J108" i="20"/>
  <c r="C171" i="20"/>
  <c r="R181" i="20"/>
  <c r="R110" i="20"/>
  <c r="R31" i="20"/>
  <c r="O109" i="20"/>
  <c r="M71" i="20"/>
  <c r="B204" i="20"/>
  <c r="R144" i="20"/>
  <c r="J112" i="20"/>
  <c r="A185" i="20"/>
  <c r="K197" i="20"/>
  <c r="K89" i="20"/>
  <c r="T114" i="20"/>
  <c r="R112" i="20"/>
  <c r="C227" i="20"/>
  <c r="M99" i="20"/>
  <c r="N102" i="20"/>
  <c r="C192" i="20"/>
  <c r="S115" i="20"/>
  <c r="M195" i="20"/>
  <c r="R209" i="20"/>
  <c r="N156" i="20"/>
  <c r="K55" i="20"/>
  <c r="L29" i="20"/>
  <c r="O74" i="20"/>
  <c r="R45" i="20"/>
  <c r="K171" i="20"/>
  <c r="N132" i="20"/>
  <c r="O128" i="20"/>
  <c r="B15" i="20"/>
  <c r="S106" i="20"/>
  <c r="K153" i="20"/>
  <c r="O181" i="20"/>
  <c r="B146" i="20"/>
  <c r="C103" i="20"/>
  <c r="R193" i="20"/>
  <c r="N225" i="20"/>
  <c r="S133" i="20"/>
  <c r="O193" i="20"/>
  <c r="M110" i="20"/>
  <c r="J205" i="20"/>
  <c r="T89" i="20"/>
  <c r="C38" i="20"/>
  <c r="K133" i="20"/>
  <c r="M165" i="20"/>
  <c r="J224" i="20"/>
  <c r="K94" i="20"/>
  <c r="J42" i="20"/>
  <c r="M16" i="20"/>
  <c r="O18" i="20"/>
  <c r="J176" i="20"/>
  <c r="O216" i="20"/>
  <c r="O199" i="20"/>
  <c r="T104" i="20"/>
  <c r="S118" i="20"/>
  <c r="N35" i="20"/>
  <c r="B166" i="20"/>
  <c r="S167" i="20"/>
  <c r="C157" i="20"/>
  <c r="K123" i="20"/>
  <c r="S90" i="20"/>
  <c r="N60" i="20"/>
  <c r="S111" i="20"/>
  <c r="K169" i="20"/>
  <c r="M23" i="20"/>
  <c r="J67" i="20"/>
  <c r="A73" i="20"/>
  <c r="M95" i="20"/>
  <c r="C214" i="20"/>
  <c r="R38" i="20"/>
  <c r="K141" i="20"/>
  <c r="C100" i="20"/>
  <c r="O35" i="20"/>
  <c r="C75" i="20"/>
  <c r="L67" i="20"/>
  <c r="C146" i="20"/>
  <c r="M135" i="20"/>
  <c r="J199" i="20"/>
  <c r="A60" i="20"/>
  <c r="L225" i="20"/>
  <c r="R194" i="20"/>
  <c r="S102" i="20"/>
  <c r="O164" i="20"/>
  <c r="M118" i="20"/>
  <c r="C24" i="20"/>
  <c r="N53" i="20"/>
  <c r="L176" i="20"/>
  <c r="L133" i="20"/>
  <c r="S219" i="20"/>
  <c r="C206" i="20"/>
  <c r="C195" i="20"/>
  <c r="R29" i="20"/>
  <c r="O123" i="20"/>
  <c r="O105" i="20"/>
  <c r="O139" i="20"/>
  <c r="J195" i="20"/>
  <c r="M74" i="20"/>
  <c r="R53" i="20"/>
  <c r="O205" i="20"/>
  <c r="R77" i="20"/>
  <c r="A22" i="20"/>
  <c r="A178" i="20"/>
  <c r="M157" i="20"/>
  <c r="M65" i="20"/>
  <c r="L72" i="20"/>
  <c r="N193" i="20"/>
  <c r="K148" i="20"/>
  <c r="K26" i="20"/>
  <c r="T32" i="20"/>
  <c r="J165" i="20"/>
  <c r="T99" i="20"/>
  <c r="B229" i="20"/>
  <c r="R107" i="20"/>
  <c r="T158" i="20"/>
  <c r="B60" i="20"/>
  <c r="A40" i="20"/>
  <c r="T127" i="20"/>
  <c r="B193" i="20"/>
  <c r="T109" i="20"/>
  <c r="N124" i="20"/>
  <c r="L18" i="20"/>
  <c r="A39" i="20"/>
  <c r="M126" i="20"/>
  <c r="A161" i="20"/>
  <c r="T175" i="20"/>
  <c r="C176" i="20"/>
  <c r="N178" i="20"/>
  <c r="A179" i="20"/>
  <c r="N71" i="20"/>
  <c r="C111" i="20"/>
  <c r="C129" i="20"/>
  <c r="L182" i="20"/>
  <c r="N136" i="20"/>
  <c r="O59" i="20"/>
  <c r="O79" i="20"/>
  <c r="B89" i="20"/>
  <c r="O106" i="20"/>
  <c r="R127" i="20"/>
  <c r="L96" i="20"/>
  <c r="A136" i="20"/>
  <c r="R172" i="20"/>
  <c r="L79" i="20"/>
  <c r="A202" i="20"/>
  <c r="A150" i="20"/>
  <c r="A176" i="20"/>
  <c r="K47" i="20"/>
  <c r="K125" i="20"/>
  <c r="O203" i="20"/>
  <c r="K76" i="20"/>
  <c r="L77" i="20"/>
  <c r="O19" i="20"/>
  <c r="M139" i="20"/>
  <c r="R28" i="20"/>
  <c r="O187" i="20"/>
  <c r="S110" i="20"/>
  <c r="S101" i="20"/>
  <c r="M25" i="20"/>
  <c r="K45" i="20"/>
  <c r="R125" i="20"/>
  <c r="T210" i="20"/>
  <c r="J78" i="20"/>
  <c r="M150" i="20"/>
  <c r="O219" i="20"/>
  <c r="J87" i="20"/>
  <c r="B30" i="20"/>
  <c r="R121" i="20"/>
  <c r="C15" i="20"/>
  <c r="A184" i="20"/>
  <c r="B141" i="20"/>
  <c r="B225" i="20"/>
  <c r="M218" i="20"/>
  <c r="S32" i="20"/>
  <c r="C77" i="20"/>
  <c r="B23" i="20"/>
  <c r="L86" i="20"/>
  <c r="T112" i="20"/>
  <c r="K51" i="20"/>
  <c r="M102" i="20"/>
  <c r="O107" i="20"/>
  <c r="R167" i="20"/>
  <c r="N113" i="20"/>
  <c r="T161" i="20"/>
  <c r="C193" i="20"/>
  <c r="S58" i="20"/>
  <c r="S81" i="20"/>
  <c r="O190" i="20"/>
  <c r="J144" i="20"/>
  <c r="T106" i="20"/>
  <c r="K102" i="20"/>
  <c r="A74" i="20"/>
  <c r="C196" i="20"/>
  <c r="S62" i="20"/>
  <c r="R63" i="20"/>
  <c r="K65" i="20"/>
  <c r="R185" i="20"/>
  <c r="H228" i="20"/>
  <c r="T60" i="20"/>
  <c r="M66" i="20"/>
  <c r="T103" i="20"/>
  <c r="T73" i="20"/>
  <c r="S188" i="20"/>
  <c r="A134" i="20"/>
  <c r="T214" i="20"/>
  <c r="J58" i="20"/>
  <c r="J183" i="20"/>
  <c r="K90" i="20"/>
  <c r="T163" i="20"/>
  <c r="B102" i="20"/>
  <c r="L140" i="20"/>
  <c r="F231" i="20"/>
  <c r="A58" i="20"/>
  <c r="K91" i="20"/>
  <c r="J137" i="20"/>
  <c r="R138" i="20"/>
  <c r="M175" i="20"/>
  <c r="O15" i="20"/>
  <c r="C169" i="20"/>
  <c r="C122" i="20"/>
  <c r="M217" i="20"/>
  <c r="R161" i="20"/>
  <c r="L171" i="20"/>
  <c r="N141" i="20"/>
  <c r="K25" i="20"/>
  <c r="C67" i="20"/>
  <c r="F229" i="20"/>
  <c r="J69" i="20"/>
  <c r="A96" i="20"/>
  <c r="A81" i="20"/>
  <c r="L59" i="20"/>
  <c r="S150" i="20"/>
  <c r="T67" i="20"/>
  <c r="J90" i="20"/>
  <c r="L159" i="20"/>
  <c r="K154" i="20"/>
  <c r="C41" i="20"/>
  <c r="O57" i="20"/>
  <c r="N82" i="20"/>
  <c r="K150" i="20"/>
  <c r="B38" i="20"/>
  <c r="R68" i="20"/>
  <c r="O129" i="20"/>
  <c r="K60" i="20"/>
  <c r="C153" i="20"/>
  <c r="N18" i="20"/>
  <c r="T202" i="20"/>
  <c r="S104" i="20"/>
  <c r="C58" i="20"/>
  <c r="B87" i="20"/>
  <c r="M113" i="20"/>
  <c r="S146" i="20"/>
  <c r="B218" i="20"/>
  <c r="T122" i="20"/>
  <c r="L20" i="20"/>
  <c r="R162" i="20"/>
  <c r="K208" i="20"/>
  <c r="O88" i="20"/>
  <c r="R74" i="20"/>
  <c r="S171" i="20"/>
  <c r="L100" i="20"/>
  <c r="S189" i="20"/>
  <c r="J197" i="20"/>
  <c r="S211" i="20"/>
  <c r="C164" i="20"/>
  <c r="N208" i="20"/>
  <c r="O162" i="20"/>
  <c r="N24" i="20"/>
  <c r="R41" i="20"/>
  <c r="B105" i="20"/>
  <c r="O89" i="20"/>
  <c r="A100" i="20"/>
  <c r="T88" i="20"/>
  <c r="T197" i="20"/>
  <c r="K209" i="20"/>
  <c r="B110" i="20"/>
  <c r="T35" i="20"/>
  <c r="C27" i="20"/>
  <c r="T66" i="20"/>
  <c r="R171" i="20"/>
  <c r="K214" i="20"/>
  <c r="S203" i="20"/>
  <c r="T39" i="20"/>
  <c r="A101" i="20"/>
  <c r="S94" i="20"/>
  <c r="O96" i="20"/>
  <c r="M119" i="20"/>
  <c r="A43" i="20"/>
  <c r="K189" i="20"/>
  <c r="T17" i="20"/>
  <c r="L129" i="20"/>
  <c r="O144" i="20"/>
  <c r="R157" i="20"/>
  <c r="N231" i="20"/>
  <c r="L93" i="20"/>
  <c r="T125" i="20"/>
  <c r="N216" i="20"/>
  <c r="K144" i="20"/>
  <c r="A67" i="20"/>
  <c r="B19" i="20"/>
  <c r="J75" i="20"/>
  <c r="N189" i="20"/>
  <c r="C161" i="20"/>
  <c r="S40" i="20"/>
  <c r="L91" i="20"/>
  <c r="K16" i="20"/>
  <c r="O122" i="20"/>
  <c r="S116" i="20"/>
  <c r="J201" i="20"/>
  <c r="T43" i="20"/>
  <c r="L174" i="20"/>
  <c r="M62" i="20"/>
  <c r="N195" i="20"/>
  <c r="T113" i="20"/>
  <c r="L134" i="20"/>
  <c r="J81" i="20"/>
  <c r="R149" i="20"/>
  <c r="L195" i="20"/>
  <c r="O212" i="20"/>
  <c r="A183" i="20"/>
  <c r="J216" i="20"/>
  <c r="O206" i="20"/>
  <c r="S63" i="20"/>
  <c r="C185" i="20"/>
  <c r="L226" i="20"/>
  <c r="L206" i="20"/>
  <c r="A69" i="20"/>
  <c r="C142" i="20"/>
  <c r="L170" i="20"/>
  <c r="T194" i="20"/>
  <c r="T118" i="20"/>
  <c r="T160" i="20"/>
  <c r="R176" i="20"/>
  <c r="A33" i="20"/>
  <c r="R196" i="20"/>
  <c r="M132" i="20"/>
  <c r="C149" i="20"/>
  <c r="R92" i="20"/>
  <c r="N170" i="20"/>
  <c r="J138" i="20"/>
  <c r="N217" i="20"/>
  <c r="O141" i="20"/>
  <c r="R226" i="20"/>
  <c r="M162" i="20"/>
  <c r="J80" i="20"/>
  <c r="M215" i="20"/>
  <c r="K203" i="20"/>
  <c r="N43" i="20"/>
  <c r="C144" i="20"/>
  <c r="J209" i="20"/>
  <c r="J100" i="20"/>
  <c r="M210" i="20"/>
  <c r="N206" i="20"/>
  <c r="O223" i="20"/>
  <c r="M202" i="20"/>
  <c r="N160" i="20"/>
  <c r="T55" i="20"/>
  <c r="J184" i="20"/>
  <c r="K41" i="20"/>
  <c r="R189" i="20"/>
  <c r="N74" i="20"/>
  <c r="S228" i="20"/>
  <c r="T149" i="20"/>
  <c r="M29" i="20"/>
  <c r="B207" i="20"/>
  <c r="A212" i="20"/>
  <c r="T86" i="20"/>
  <c r="N228" i="20"/>
  <c r="R220" i="20"/>
  <c r="M130" i="20"/>
  <c r="N123" i="20"/>
  <c r="M172" i="20"/>
  <c r="R78" i="20"/>
  <c r="K212" i="20"/>
  <c r="R46" i="20"/>
  <c r="O20" i="20"/>
  <c r="C184" i="20"/>
  <c r="A159" i="20"/>
  <c r="J154" i="20"/>
  <c r="J68" i="20"/>
  <c r="L108" i="20"/>
  <c r="S78" i="20"/>
  <c r="N205" i="20"/>
  <c r="C63" i="20"/>
  <c r="M179" i="20"/>
  <c r="J136" i="20"/>
  <c r="C36" i="20"/>
  <c r="M58" i="20"/>
  <c r="B183" i="20"/>
  <c r="A186" i="20"/>
  <c r="O175" i="20"/>
  <c r="C216" i="20"/>
  <c r="C220" i="20"/>
  <c r="C16" i="20"/>
  <c r="N94" i="20"/>
  <c r="T192" i="20"/>
  <c r="B106" i="20"/>
  <c r="R224" i="20"/>
  <c r="J142" i="20"/>
  <c r="C98" i="20"/>
  <c r="T222" i="20"/>
  <c r="T57" i="20"/>
  <c r="J109" i="20"/>
  <c r="S75" i="20"/>
  <c r="J122" i="20"/>
  <c r="M56" i="20"/>
  <c r="K98" i="20"/>
  <c r="J125" i="20"/>
  <c r="N215" i="20"/>
  <c r="C70" i="20"/>
  <c r="C79" i="20"/>
  <c r="B104" i="20"/>
  <c r="O80" i="20"/>
  <c r="A88" i="20"/>
  <c r="B48" i="20"/>
  <c r="O138" i="20"/>
  <c r="B220" i="20"/>
  <c r="M98" i="20"/>
  <c r="J210" i="20"/>
  <c r="O94" i="20"/>
  <c r="O150" i="20"/>
  <c r="L202" i="20"/>
  <c r="S18" i="20"/>
  <c r="L26" i="20"/>
  <c r="A38" i="20"/>
  <c r="J163" i="20"/>
  <c r="J49" i="20"/>
  <c r="S91" i="20"/>
  <c r="N183" i="20"/>
  <c r="J178" i="20"/>
  <c r="R163" i="20"/>
  <c r="J189" i="20"/>
  <c r="M120" i="20"/>
  <c r="M131" i="20"/>
  <c r="S84" i="20"/>
  <c r="N138" i="20"/>
  <c r="K21" i="20"/>
  <c r="A187" i="20"/>
  <c r="M124" i="20"/>
  <c r="S56" i="20"/>
  <c r="R145" i="20"/>
  <c r="C17" i="20"/>
  <c r="A141" i="20"/>
  <c r="J146" i="20"/>
  <c r="A86" i="20"/>
  <c r="C32" i="20"/>
  <c r="A51" i="20"/>
  <c r="N182" i="20"/>
  <c r="S73" i="20"/>
  <c r="A157" i="20"/>
  <c r="K219" i="20"/>
  <c r="N37" i="20"/>
  <c r="C96" i="20"/>
  <c r="S19" i="20"/>
  <c r="R82" i="20"/>
  <c r="K40" i="20"/>
  <c r="S54" i="20"/>
  <c r="N147" i="20"/>
  <c r="T227" i="20"/>
  <c r="J164" i="20"/>
  <c r="R87" i="20"/>
  <c r="C99" i="20"/>
  <c r="E230" i="20"/>
  <c r="S29" i="20"/>
  <c r="C124" i="20"/>
  <c r="L64" i="20"/>
  <c r="O176" i="20"/>
  <c r="R39" i="20"/>
  <c r="K109" i="20"/>
  <c r="C102" i="20"/>
  <c r="A16" i="20"/>
  <c r="N117" i="20"/>
  <c r="B137" i="20"/>
  <c r="A102" i="20"/>
  <c r="N185" i="20"/>
  <c r="O49" i="20"/>
  <c r="N161" i="20"/>
  <c r="O45" i="20"/>
  <c r="L216" i="20"/>
  <c r="O209" i="20"/>
  <c r="S96" i="20"/>
  <c r="K82" i="20"/>
  <c r="L130" i="20"/>
  <c r="S22" i="20"/>
  <c r="K110" i="20"/>
  <c r="J36" i="20"/>
  <c r="O43" i="20"/>
  <c r="T168" i="20"/>
  <c r="C211" i="20"/>
  <c r="N97" i="20"/>
  <c r="K115" i="20"/>
  <c r="R160" i="20"/>
  <c r="C107" i="20"/>
  <c r="L109" i="20"/>
  <c r="A77" i="20"/>
  <c r="S196" i="20"/>
  <c r="O53" i="20"/>
  <c r="R169" i="20"/>
  <c r="M158" i="20"/>
  <c r="M86" i="20"/>
  <c r="J61" i="20"/>
  <c r="M106" i="20"/>
  <c r="L56" i="20"/>
  <c r="B133" i="20"/>
  <c r="A37" i="20"/>
  <c r="T95" i="20"/>
  <c r="R148" i="20"/>
  <c r="K228" i="20"/>
  <c r="S25" i="20"/>
  <c r="A52" i="20"/>
  <c r="J223" i="20"/>
  <c r="A210" i="20"/>
  <c r="N39" i="20"/>
  <c r="K48" i="20"/>
  <c r="A146" i="20"/>
  <c r="B161" i="20"/>
  <c r="C60" i="20"/>
  <c r="J38" i="20"/>
  <c r="S161" i="20"/>
  <c r="K215" i="20"/>
  <c r="C187" i="20"/>
  <c r="C83" i="20"/>
  <c r="O124" i="20"/>
  <c r="L157" i="20"/>
  <c r="J181" i="20"/>
  <c r="B93" i="20"/>
  <c r="C215" i="20"/>
  <c r="N133" i="20"/>
  <c r="B182" i="20"/>
  <c r="N140" i="20"/>
  <c r="T216" i="20"/>
  <c r="T184" i="20"/>
  <c r="O230" i="20"/>
  <c r="S108" i="20"/>
  <c r="N166" i="20"/>
  <c r="M19" i="20"/>
  <c r="T96" i="20"/>
  <c r="J148" i="20"/>
  <c r="M187" i="20"/>
  <c r="A219" i="20"/>
  <c r="H230" i="20"/>
  <c r="B109" i="20"/>
  <c r="T21" i="20"/>
  <c r="C172" i="20"/>
  <c r="M89" i="20"/>
  <c r="N121" i="20"/>
  <c r="O37" i="20"/>
  <c r="A169" i="20"/>
  <c r="L107" i="20"/>
  <c r="S109" i="20"/>
  <c r="L70" i="20"/>
  <c r="J211" i="20"/>
  <c r="J130" i="20"/>
  <c r="B91" i="20"/>
  <c r="T138" i="20"/>
  <c r="B58" i="20"/>
  <c r="B65" i="20"/>
  <c r="T51" i="20"/>
  <c r="R114" i="20"/>
  <c r="B51" i="20"/>
  <c r="S34" i="20"/>
  <c r="O213" i="20"/>
  <c r="B197" i="20"/>
  <c r="K190" i="20"/>
  <c r="S200" i="20"/>
  <c r="L36" i="20"/>
  <c r="K152" i="20"/>
  <c r="N108" i="20"/>
  <c r="M61" i="20"/>
  <c r="N163" i="20"/>
  <c r="R230" i="20"/>
  <c r="S38" i="20"/>
  <c r="J120" i="20"/>
  <c r="R186" i="20"/>
  <c r="T119" i="20"/>
  <c r="A30" i="20"/>
  <c r="B221" i="20"/>
  <c r="B212" i="20"/>
  <c r="A227" i="20"/>
  <c r="G228" i="20"/>
  <c r="N118" i="20"/>
  <c r="J129" i="20"/>
  <c r="J43" i="20"/>
  <c r="S148" i="20"/>
  <c r="A103" i="20"/>
  <c r="M209" i="20"/>
  <c r="N221" i="20"/>
  <c r="C86" i="20"/>
  <c r="A93" i="20"/>
  <c r="L228" i="20"/>
  <c r="O91" i="20"/>
  <c r="K223" i="20"/>
  <c r="T26" i="20"/>
  <c r="J230" i="20"/>
  <c r="K183" i="20"/>
  <c r="S179" i="20"/>
  <c r="S212" i="20"/>
  <c r="K200" i="20"/>
  <c r="L194" i="20"/>
  <c r="C228" i="20"/>
  <c r="B85" i="20"/>
  <c r="T97" i="20"/>
  <c r="A32" i="20"/>
  <c r="R20" i="20"/>
  <c r="A70" i="20"/>
  <c r="M212" i="20"/>
  <c r="M216" i="20"/>
  <c r="A89" i="20"/>
  <c r="S20" i="20"/>
  <c r="J115" i="20"/>
  <c r="B200" i="20"/>
  <c r="B216" i="20"/>
  <c r="C109" i="20"/>
  <c r="S17" i="20"/>
  <c r="T52" i="20"/>
  <c r="J94" i="20"/>
  <c r="J180" i="20"/>
  <c r="A155" i="20"/>
  <c r="T153" i="20"/>
  <c r="A71" i="20"/>
  <c r="C64" i="20"/>
  <c r="J41" i="20"/>
  <c r="M160" i="20"/>
  <c r="M230" i="20"/>
  <c r="T137" i="20"/>
  <c r="A217" i="20"/>
  <c r="A172" i="20"/>
  <c r="S44" i="20"/>
  <c r="A168" i="20"/>
  <c r="B66" i="20"/>
  <c r="O38" i="20"/>
  <c r="T177" i="20"/>
  <c r="R22" i="20"/>
  <c r="M144" i="20"/>
  <c r="A224" i="20"/>
  <c r="T15" i="20"/>
  <c r="O69" i="20"/>
  <c r="M116" i="20"/>
  <c r="O131" i="20"/>
  <c r="N99" i="20"/>
  <c r="N44" i="20"/>
  <c r="R34" i="20"/>
  <c r="O202" i="20"/>
  <c r="T27" i="20"/>
  <c r="M222" i="20"/>
  <c r="T74" i="20"/>
  <c r="L184" i="20"/>
  <c r="S223" i="20"/>
  <c r="A95" i="20"/>
  <c r="K71" i="20"/>
  <c r="J46" i="20"/>
  <c r="L63" i="20"/>
  <c r="C37" i="20"/>
  <c r="A218" i="20"/>
  <c r="L224" i="20"/>
  <c r="J202" i="20"/>
  <c r="O78" i="20"/>
  <c r="N66" i="20"/>
  <c r="M177" i="20"/>
  <c r="S99" i="20"/>
  <c r="N79" i="20"/>
  <c r="B206" i="20"/>
  <c r="K36" i="20"/>
  <c r="S206" i="20"/>
  <c r="C205" i="20"/>
  <c r="K124" i="20"/>
  <c r="O33" i="20"/>
  <c r="R61" i="20"/>
  <c r="J55" i="20"/>
  <c r="K107" i="20"/>
  <c r="M174" i="20"/>
  <c r="T154" i="20"/>
  <c r="N27" i="20"/>
  <c r="M167" i="20"/>
  <c r="R200" i="20"/>
  <c r="S187" i="20"/>
  <c r="B136" i="20"/>
  <c r="K105" i="20"/>
  <c r="T228" i="20"/>
  <c r="S53" i="20"/>
  <c r="O34" i="20"/>
  <c r="O194" i="20"/>
  <c r="M114" i="20"/>
  <c r="B230" i="20"/>
  <c r="B24" i="20"/>
  <c r="R203" i="20"/>
  <c r="M39" i="20"/>
  <c r="M115" i="20"/>
  <c r="B107" i="20"/>
  <c r="J56" i="20"/>
  <c r="K80" i="20"/>
  <c r="J128" i="20"/>
  <c r="N21" i="20"/>
  <c r="B139" i="20"/>
  <c r="T152" i="20"/>
  <c r="K39" i="20"/>
  <c r="R215" i="20"/>
  <c r="M231" i="20"/>
  <c r="M170" i="20"/>
  <c r="T71" i="20"/>
  <c r="R153" i="20"/>
  <c r="J34" i="20"/>
  <c r="L57" i="20"/>
  <c r="M200" i="20"/>
  <c r="B27" i="20"/>
  <c r="C106" i="20"/>
  <c r="N23" i="20"/>
  <c r="B112" i="20"/>
  <c r="G231" i="20"/>
  <c r="S213" i="20"/>
  <c r="S122" i="20"/>
  <c r="L213" i="20"/>
  <c r="T136" i="20"/>
  <c r="T199" i="20"/>
  <c r="O192" i="20"/>
  <c r="S89" i="20"/>
  <c r="A195" i="20"/>
  <c r="A220" i="20"/>
  <c r="T204" i="20"/>
  <c r="J73" i="20"/>
  <c r="C170" i="20"/>
  <c r="N69" i="20"/>
  <c r="R105" i="20"/>
  <c r="R52" i="20"/>
  <c r="O120" i="20"/>
  <c r="T195" i="20"/>
  <c r="S198" i="20"/>
  <c r="K31" i="20"/>
  <c r="R154" i="20"/>
  <c r="T207" i="20"/>
  <c r="L68" i="20"/>
  <c r="T30" i="20"/>
  <c r="M145" i="20"/>
  <c r="K177" i="20"/>
  <c r="C189" i="20"/>
  <c r="O23" i="20"/>
  <c r="B113" i="20"/>
  <c r="O102" i="20"/>
  <c r="B226" i="20"/>
  <c r="M112" i="20"/>
  <c r="L180" i="20"/>
  <c r="S185" i="20"/>
  <c r="C82" i="20"/>
  <c r="J63" i="20"/>
  <c r="S95" i="20"/>
  <c r="J44" i="20"/>
  <c r="S204" i="20"/>
  <c r="C133" i="20"/>
  <c r="L189" i="20"/>
  <c r="M191" i="20"/>
  <c r="S201" i="20"/>
  <c r="T181" i="20"/>
  <c r="O70" i="20"/>
  <c r="L153" i="20"/>
  <c r="T167" i="20"/>
  <c r="N31" i="20"/>
  <c r="S227" i="20"/>
  <c r="J88" i="20"/>
  <c r="O82" i="20"/>
  <c r="B211" i="20"/>
  <c r="S137" i="20"/>
  <c r="L40" i="20"/>
  <c r="J141" i="20"/>
  <c r="B21" i="20"/>
  <c r="O156" i="20"/>
  <c r="K138" i="20"/>
  <c r="C225" i="20"/>
  <c r="B172" i="20"/>
  <c r="S57" i="20"/>
  <c r="A181" i="20"/>
  <c r="M136" i="20"/>
  <c r="K202" i="20"/>
  <c r="O108" i="20"/>
  <c r="J104" i="20"/>
  <c r="R179" i="20"/>
  <c r="S190" i="20"/>
  <c r="L105" i="20"/>
  <c r="R170" i="20"/>
  <c r="L101" i="20"/>
  <c r="L156" i="20"/>
  <c r="S186" i="20"/>
  <c r="K165" i="20"/>
  <c r="M26" i="20"/>
  <c r="R55" i="20"/>
  <c r="M129" i="20"/>
  <c r="C66" i="20"/>
  <c r="O26" i="20"/>
  <c r="N187" i="20"/>
  <c r="C30" i="20"/>
  <c r="N198" i="20"/>
  <c r="M121" i="20"/>
  <c r="L118" i="20"/>
  <c r="K23" i="20"/>
  <c r="J191" i="20"/>
  <c r="C200" i="20"/>
  <c r="A192" i="20"/>
  <c r="R216" i="20"/>
  <c r="T91" i="20"/>
  <c r="C191" i="20"/>
  <c r="B156" i="20"/>
  <c r="A229" i="20"/>
  <c r="R80" i="20"/>
  <c r="N129" i="20"/>
  <c r="N112" i="20"/>
  <c r="L128" i="20"/>
  <c r="C40" i="20"/>
  <c r="L45" i="20"/>
  <c r="R35" i="20"/>
  <c r="T183" i="20"/>
  <c r="O136" i="20"/>
  <c r="C154" i="20"/>
  <c r="M34" i="20"/>
  <c r="K184" i="20"/>
  <c r="T159" i="20"/>
  <c r="N51" i="20"/>
  <c r="M125" i="20"/>
  <c r="S98" i="20"/>
  <c r="K52" i="20"/>
  <c r="B190" i="20"/>
  <c r="R133" i="20"/>
  <c r="A137" i="20"/>
  <c r="R60" i="20"/>
  <c r="R201" i="20"/>
  <c r="B188" i="20"/>
  <c r="O198" i="20"/>
  <c r="M60" i="20"/>
  <c r="L163" i="20"/>
  <c r="L55" i="20"/>
  <c r="J82" i="20"/>
  <c r="A167" i="20"/>
  <c r="B46" i="20"/>
  <c r="S202" i="20"/>
  <c r="A156" i="20"/>
  <c r="B181" i="20"/>
  <c r="T117" i="20"/>
  <c r="S85" i="20"/>
  <c r="J160" i="20"/>
  <c r="J200" i="20"/>
  <c r="S50" i="20"/>
  <c r="K206" i="20"/>
  <c r="R115" i="20"/>
  <c r="C127" i="20"/>
  <c r="O110" i="20"/>
  <c r="T107" i="20"/>
  <c r="C101" i="20"/>
  <c r="J98" i="20"/>
  <c r="S195" i="20"/>
  <c r="M151" i="20"/>
  <c r="J177" i="20"/>
  <c r="C132" i="20"/>
  <c r="T101" i="20"/>
  <c r="K159" i="20"/>
  <c r="R156" i="20"/>
  <c r="T144" i="20"/>
  <c r="R69" i="20"/>
  <c r="T94" i="20"/>
  <c r="B191" i="20"/>
  <c r="M92" i="20"/>
  <c r="A63" i="20"/>
  <c r="L47" i="20"/>
  <c r="R207" i="20"/>
  <c r="C155" i="20"/>
  <c r="J168" i="20"/>
  <c r="S86" i="20"/>
  <c r="O146" i="20"/>
  <c r="C138" i="20"/>
  <c r="L161" i="20"/>
  <c r="S71" i="20"/>
  <c r="B76" i="20"/>
  <c r="A64" i="20"/>
  <c r="T33" i="20"/>
  <c r="O127" i="20"/>
  <c r="N93" i="20"/>
  <c r="B174" i="20"/>
  <c r="A204" i="20"/>
  <c r="A18" i="20"/>
  <c r="A173" i="20"/>
  <c r="C94" i="20"/>
  <c r="J110" i="20"/>
  <c r="M206" i="20"/>
  <c r="L158" i="20"/>
  <c r="A36" i="20"/>
  <c r="A216" i="20"/>
  <c r="S208" i="20"/>
  <c r="L162" i="20"/>
  <c r="A94" i="20"/>
  <c r="L43" i="20"/>
  <c r="N174" i="20"/>
  <c r="K222" i="20"/>
  <c r="K117" i="20"/>
  <c r="J133" i="20"/>
  <c r="L207" i="20"/>
  <c r="A87" i="20"/>
  <c r="K181" i="20"/>
  <c r="A114" i="20"/>
  <c r="K46" i="20"/>
  <c r="R33" i="20"/>
  <c r="B145" i="20"/>
  <c r="J171" i="20"/>
  <c r="J40" i="20"/>
  <c r="C134" i="20"/>
  <c r="J101" i="20"/>
  <c r="M152" i="20"/>
  <c r="N153" i="20"/>
  <c r="M194" i="20"/>
  <c r="N55" i="20"/>
  <c r="M59" i="20"/>
  <c r="C148" i="20"/>
  <c r="A108" i="20"/>
  <c r="A158" i="20"/>
  <c r="I228" i="20"/>
  <c r="T212" i="20"/>
  <c r="S66" i="20"/>
  <c r="A26" i="20"/>
  <c r="R42" i="20"/>
  <c r="N214" i="20"/>
  <c r="O29" i="20"/>
  <c r="K226" i="20"/>
  <c r="N180" i="20"/>
  <c r="J131" i="20"/>
  <c r="R192" i="20"/>
  <c r="M38" i="20"/>
  <c r="B59" i="20"/>
  <c r="A41" i="20"/>
  <c r="L27" i="20"/>
  <c r="L160" i="20"/>
  <c r="O81" i="20"/>
  <c r="R184" i="20"/>
  <c r="O41" i="20"/>
  <c r="A209" i="20"/>
  <c r="R101" i="20"/>
  <c r="T150" i="20"/>
  <c r="M223" i="20"/>
  <c r="A135" i="20"/>
  <c r="O145" i="20"/>
  <c r="L21" i="20"/>
  <c r="A44" i="20"/>
  <c r="A133" i="20"/>
  <c r="C181" i="20"/>
  <c r="T187" i="20"/>
  <c r="A206" i="20"/>
  <c r="K68" i="20"/>
  <c r="M80" i="20"/>
  <c r="L39" i="20"/>
  <c r="A19" i="20"/>
  <c r="M155" i="20"/>
  <c r="T126" i="20"/>
  <c r="M127" i="20"/>
  <c r="T19" i="20"/>
  <c r="K196" i="20"/>
  <c r="N154" i="20"/>
  <c r="B154" i="20"/>
  <c r="R227" i="20"/>
  <c r="J95" i="20"/>
  <c r="O121" i="20"/>
  <c r="S164" i="20"/>
  <c r="T42" i="20"/>
  <c r="R225" i="20"/>
  <c r="R96" i="20"/>
  <c r="J179" i="20"/>
  <c r="R47" i="20"/>
  <c r="C217" i="20"/>
  <c r="B162" i="20"/>
  <c r="T176" i="20"/>
  <c r="K19" i="20"/>
  <c r="K140" i="20"/>
  <c r="M211" i="20"/>
  <c r="N83" i="20"/>
  <c r="L175" i="20"/>
  <c r="R158" i="20"/>
  <c r="T80" i="20"/>
  <c r="M146" i="20"/>
  <c r="N49" i="20"/>
  <c r="B144" i="20"/>
  <c r="M153" i="20"/>
  <c r="M214" i="20"/>
  <c r="O167" i="20"/>
  <c r="O39" i="20"/>
  <c r="N36" i="20"/>
  <c r="B155" i="20"/>
  <c r="L203" i="20"/>
  <c r="A165" i="20"/>
  <c r="C136" i="20"/>
  <c r="N50" i="20"/>
  <c r="J152" i="20"/>
  <c r="P228" i="20"/>
  <c r="J45" i="20"/>
  <c r="T38" i="20"/>
  <c r="M78" i="20"/>
  <c r="A180" i="20"/>
  <c r="T191" i="20"/>
  <c r="L42" i="20"/>
  <c r="R191" i="20"/>
  <c r="M104" i="20"/>
  <c r="O133" i="20"/>
  <c r="S157" i="20"/>
  <c r="K88" i="20"/>
  <c r="C137" i="20"/>
  <c r="T185" i="20"/>
  <c r="O95" i="20"/>
  <c r="A110" i="20"/>
  <c r="J151" i="20"/>
  <c r="L188" i="20"/>
  <c r="N135" i="20"/>
  <c r="O67" i="20"/>
  <c r="C88" i="20"/>
  <c r="M138" i="20"/>
  <c r="J113" i="20"/>
  <c r="L150" i="20"/>
  <c r="T143" i="20"/>
  <c r="N106" i="20"/>
  <c r="O214" i="20"/>
  <c r="O224" i="20"/>
  <c r="L197" i="20"/>
  <c r="A50" i="20"/>
  <c r="B77" i="20"/>
  <c r="R195" i="20"/>
  <c r="A198" i="20"/>
  <c r="L126" i="20"/>
  <c r="C204" i="20"/>
  <c r="M190" i="20"/>
  <c r="C85" i="20"/>
  <c r="N76" i="20"/>
  <c r="C62" i="20"/>
  <c r="R173" i="20"/>
  <c r="M147" i="20"/>
  <c r="L19" i="20"/>
  <c r="K161" i="20"/>
  <c r="O65" i="20"/>
  <c r="O161" i="20"/>
  <c r="L78" i="20"/>
  <c r="A29" i="20"/>
  <c r="J132" i="20"/>
  <c r="M201" i="20"/>
  <c r="T68" i="20"/>
  <c r="R17" i="20"/>
  <c r="J79" i="20"/>
  <c r="J156" i="20"/>
  <c r="L152" i="20"/>
  <c r="S143" i="20"/>
  <c r="O117" i="20"/>
  <c r="J147" i="20"/>
  <c r="O22" i="20"/>
  <c r="J145" i="20"/>
  <c r="C143" i="20"/>
  <c r="A122" i="20"/>
  <c r="S172" i="20"/>
  <c r="C188" i="20"/>
  <c r="J134" i="20"/>
  <c r="A215" i="20"/>
  <c r="R164" i="20"/>
  <c r="O71" i="20"/>
  <c r="N223" i="20"/>
  <c r="J102" i="20"/>
  <c r="R84" i="20"/>
  <c r="K167" i="20"/>
  <c r="J213" i="20"/>
  <c r="T40" i="20"/>
  <c r="M205" i="20"/>
  <c r="J194" i="20"/>
  <c r="A21" i="20"/>
  <c r="A31" i="20"/>
  <c r="L149" i="20"/>
  <c r="S199" i="20"/>
  <c r="T203" i="20"/>
  <c r="K205" i="20"/>
  <c r="C174" i="20"/>
  <c r="R134" i="20"/>
  <c r="N100" i="20"/>
  <c r="R206" i="20"/>
  <c r="S82" i="20"/>
  <c r="M137" i="20"/>
  <c r="M21" i="20"/>
  <c r="C208" i="20"/>
  <c r="B69" i="20"/>
  <c r="P229" i="20"/>
  <c r="L49" i="20"/>
  <c r="B119" i="20"/>
  <c r="S46" i="20"/>
  <c r="S55" i="20"/>
  <c r="N84" i="20"/>
  <c r="L51" i="20"/>
  <c r="T47" i="20"/>
  <c r="D231" i="20"/>
  <c r="R141" i="20"/>
  <c r="R48" i="20"/>
  <c r="S135" i="20"/>
  <c r="J143" i="20"/>
  <c r="K28" i="20"/>
  <c r="A175" i="20"/>
  <c r="A105" i="20"/>
  <c r="A201" i="20"/>
  <c r="A82" i="20"/>
  <c r="R142" i="20"/>
  <c r="T24" i="20"/>
  <c r="J219" i="20"/>
  <c r="L138" i="20"/>
  <c r="S15" i="20"/>
  <c r="B173" i="20"/>
  <c r="S230" i="20"/>
  <c r="L154" i="20"/>
  <c r="R117" i="20"/>
  <c r="R43" i="20"/>
  <c r="K186" i="20"/>
  <c r="S41" i="20"/>
  <c r="A142" i="20"/>
  <c r="A126" i="20"/>
  <c r="N222" i="20"/>
  <c r="J66" i="20"/>
  <c r="C165" i="20"/>
  <c r="T53" i="20"/>
  <c r="L53" i="20"/>
  <c r="J215" i="20"/>
  <c r="C202" i="20"/>
  <c r="C159" i="20"/>
  <c r="T189" i="20"/>
  <c r="T165" i="20"/>
  <c r="L139" i="20"/>
  <c r="R70" i="20"/>
  <c r="T172" i="20"/>
  <c r="O73" i="20"/>
  <c r="O24" i="20"/>
  <c r="R197" i="20"/>
  <c r="L23" i="20"/>
  <c r="K180" i="20"/>
  <c r="C125" i="20"/>
  <c r="M178" i="20"/>
  <c r="N131" i="20"/>
  <c r="S27" i="20"/>
  <c r="R212" i="20"/>
  <c r="B97" i="20"/>
  <c r="N75" i="20"/>
  <c r="R106" i="20"/>
  <c r="L215" i="20"/>
  <c r="N137" i="20"/>
  <c r="K137" i="20"/>
  <c r="B149" i="20"/>
  <c r="M225" i="20"/>
  <c r="S42" i="20"/>
  <c r="K207" i="20"/>
  <c r="O174" i="20"/>
  <c r="C25" i="20"/>
  <c r="O177" i="20"/>
  <c r="O36" i="20"/>
  <c r="N125" i="20"/>
  <c r="T87" i="20"/>
  <c r="B22" i="20"/>
  <c r="N104" i="20"/>
  <c r="J185" i="20"/>
  <c r="O231" i="20"/>
  <c r="M204" i="20"/>
  <c r="R54" i="20"/>
  <c r="C117" i="20"/>
  <c r="L17" i="20"/>
  <c r="B42" i="20"/>
  <c r="B78" i="20"/>
  <c r="R136" i="20"/>
  <c r="A17" i="20"/>
  <c r="L179" i="20"/>
  <c r="S80" i="20"/>
  <c r="C56" i="20"/>
  <c r="K156" i="20"/>
  <c r="B79" i="20"/>
  <c r="N45" i="20"/>
  <c r="N107" i="20"/>
  <c r="N42" i="20"/>
  <c r="J114" i="20"/>
  <c r="T186" i="20"/>
  <c r="C140" i="20"/>
  <c r="A182" i="20"/>
  <c r="F230" i="20"/>
  <c r="S92" i="20"/>
  <c r="S83" i="20"/>
  <c r="L211" i="20"/>
  <c r="R178" i="20"/>
  <c r="B86" i="20"/>
  <c r="F228" i="20"/>
  <c r="R86" i="20"/>
  <c r="K20" i="20"/>
  <c r="K77" i="20"/>
  <c r="S151" i="20"/>
  <c r="N87" i="20"/>
  <c r="K204" i="20"/>
  <c r="J118" i="20"/>
  <c r="K163" i="20"/>
  <c r="C123" i="20"/>
  <c r="C218" i="20"/>
  <c r="S136" i="20"/>
  <c r="J157" i="20"/>
  <c r="L112" i="20"/>
  <c r="A97" i="20"/>
  <c r="N218" i="20"/>
  <c r="R73" i="20"/>
  <c r="R211" i="20"/>
  <c r="M198" i="20"/>
  <c r="K230" i="20"/>
  <c r="B94" i="20"/>
  <c r="S47" i="20"/>
  <c r="L199" i="20"/>
  <c r="R165" i="20"/>
  <c r="L80" i="20"/>
  <c r="J188" i="20"/>
  <c r="R198" i="20"/>
  <c r="L124" i="20"/>
  <c r="K158" i="20"/>
  <c r="J174" i="20"/>
  <c r="L104" i="20"/>
  <c r="K216" i="20"/>
  <c r="K182" i="20"/>
  <c r="B56" i="20"/>
  <c r="K111" i="20"/>
  <c r="M197" i="20"/>
  <c r="S226" i="20"/>
  <c r="O85" i="20"/>
  <c r="S224" i="20"/>
  <c r="O86" i="20"/>
  <c r="J220" i="20"/>
  <c r="O140" i="20"/>
  <c r="R182" i="20"/>
  <c r="L219" i="20"/>
  <c r="K99" i="20"/>
  <c r="R205" i="20"/>
  <c r="B153" i="20"/>
  <c r="N67" i="20"/>
  <c r="L74" i="20"/>
  <c r="B138" i="20"/>
  <c r="M96" i="20"/>
  <c r="T196" i="20"/>
  <c r="L186" i="20"/>
  <c r="T29" i="20"/>
  <c r="C26" i="20"/>
  <c r="S112" i="20"/>
  <c r="J204" i="20"/>
  <c r="B126" i="20"/>
  <c r="M199" i="20"/>
  <c r="R118" i="20"/>
  <c r="B67" i="20"/>
  <c r="T82" i="20"/>
  <c r="A49" i="20"/>
  <c r="C190" i="20"/>
  <c r="J70" i="20"/>
  <c r="C90" i="20"/>
  <c r="N179" i="20"/>
  <c r="L205" i="20"/>
  <c r="K29" i="20"/>
  <c r="J187" i="20"/>
  <c r="O221" i="20"/>
  <c r="A85" i="20"/>
  <c r="N175" i="20"/>
  <c r="O228" i="20"/>
  <c r="C178" i="20"/>
  <c r="C175" i="20"/>
  <c r="N20" i="20"/>
  <c r="S142" i="20"/>
  <c r="N134" i="20"/>
  <c r="B74" i="20"/>
  <c r="B152" i="20"/>
  <c r="A116" i="20"/>
  <c r="M229" i="20"/>
  <c r="N143" i="20"/>
  <c r="O84" i="20"/>
  <c r="R217" i="20"/>
  <c r="L103" i="20"/>
  <c r="A164" i="20"/>
  <c r="R130" i="20"/>
  <c r="M42" i="20"/>
  <c r="M108" i="20"/>
  <c r="J228" i="20"/>
  <c r="J218" i="20"/>
  <c r="S170" i="20"/>
  <c r="C115" i="20"/>
  <c r="K73" i="20"/>
  <c r="M221" i="20"/>
  <c r="S124" i="20"/>
  <c r="C141" i="20"/>
  <c r="C68" i="20"/>
  <c r="N157" i="20"/>
  <c r="A25" i="20"/>
  <c r="M22" i="20"/>
  <c r="S64" i="20"/>
  <c r="J124" i="20"/>
  <c r="S144" i="20"/>
  <c r="L136" i="20"/>
  <c r="S21" i="20"/>
  <c r="L172" i="20"/>
  <c r="K211" i="20"/>
  <c r="L168" i="20"/>
  <c r="C126" i="20"/>
  <c r="T116" i="20"/>
  <c r="T36" i="20"/>
  <c r="S52" i="20"/>
  <c r="O87" i="20"/>
  <c r="N151" i="20"/>
  <c r="M213" i="20"/>
  <c r="N171" i="20"/>
  <c r="A47" i="20"/>
  <c r="M171" i="20"/>
  <c r="K64" i="20"/>
  <c r="L89" i="20"/>
  <c r="S193" i="20"/>
  <c r="B150" i="20"/>
  <c r="O180" i="20"/>
  <c r="C116" i="20"/>
  <c r="T200" i="20"/>
  <c r="O166" i="20"/>
  <c r="B118" i="20"/>
  <c r="A124" i="20"/>
  <c r="M24" i="20"/>
  <c r="M219" i="20"/>
  <c r="R137" i="20"/>
  <c r="O126" i="20"/>
  <c r="C59" i="20"/>
  <c r="K192" i="20"/>
  <c r="L50" i="20"/>
  <c r="M180" i="20"/>
  <c r="T85" i="20"/>
  <c r="L16" i="20"/>
  <c r="A199" i="20"/>
  <c r="K162" i="20"/>
  <c r="B151" i="20"/>
  <c r="A35" i="20"/>
  <c r="S130" i="20"/>
  <c r="N181" i="20"/>
  <c r="B163" i="20"/>
  <c r="B209" i="20"/>
  <c r="R213" i="20"/>
  <c r="O46" i="20"/>
  <c r="O130" i="20"/>
  <c r="A214" i="20"/>
  <c r="M176" i="20"/>
  <c r="R129" i="20"/>
  <c r="C50" i="20"/>
  <c r="O182" i="20"/>
  <c r="A231" i="20"/>
  <c r="M168" i="20"/>
  <c r="C121" i="20"/>
  <c r="K38" i="20"/>
  <c r="K221" i="20"/>
  <c r="M73" i="20"/>
  <c r="O66" i="20"/>
  <c r="S35" i="20"/>
  <c r="R65" i="20"/>
  <c r="B37" i="20"/>
  <c r="K61" i="20"/>
  <c r="N150" i="20"/>
  <c r="L200" i="20"/>
  <c r="M79" i="20"/>
  <c r="N64" i="20"/>
  <c r="T124" i="20"/>
  <c r="M63" i="20"/>
  <c r="T213" i="20"/>
  <c r="A118" i="20"/>
  <c r="T98" i="20"/>
  <c r="N172" i="20"/>
  <c r="C89" i="20"/>
  <c r="L229" i="20"/>
  <c r="N96" i="20"/>
  <c r="N105" i="20"/>
  <c r="K195" i="20"/>
  <c r="L201" i="20"/>
  <c r="R91" i="20"/>
  <c r="M37" i="20"/>
  <c r="S207" i="20"/>
  <c r="C221" i="20"/>
  <c r="S28" i="20"/>
  <c r="B131" i="20"/>
  <c r="J158" i="20"/>
  <c r="O155" i="20"/>
  <c r="B130" i="20"/>
  <c r="B176" i="20"/>
  <c r="S68" i="20"/>
  <c r="A115" i="20"/>
  <c r="N210" i="20"/>
  <c r="L92" i="20"/>
  <c r="R95" i="20"/>
  <c r="O13" i="20" l="1"/>
  <c r="L13" i="20"/>
  <c r="R13" i="20"/>
  <c r="R8" i="20"/>
  <c r="K13" i="20"/>
  <c r="N8" i="20"/>
  <c r="M13" i="20"/>
  <c r="N13" i="20"/>
  <c r="D25" i="18"/>
  <c r="E25" i="18"/>
  <c r="E15" i="18"/>
  <c r="E16" i="18"/>
  <c r="E28" i="18"/>
  <c r="D15" i="18"/>
  <c r="E19" i="18"/>
  <c r="D29" i="18"/>
  <c r="E22" i="18"/>
  <c r="E20" i="18"/>
  <c r="E27" i="18"/>
  <c r="E29" i="18"/>
  <c r="R8" i="18"/>
  <c r="E122" i="20"/>
  <c r="F100" i="20"/>
  <c r="D173" i="20"/>
  <c r="D215" i="20"/>
  <c r="E20" i="20"/>
  <c r="D55" i="20"/>
  <c r="D202" i="20"/>
  <c r="D47" i="20"/>
  <c r="E81" i="20"/>
  <c r="F122" i="20"/>
  <c r="E46" i="20"/>
  <c r="F67" i="20"/>
  <c r="E99" i="20"/>
  <c r="D108" i="20"/>
  <c r="F92" i="20"/>
  <c r="E94" i="20"/>
  <c r="D63" i="20"/>
  <c r="E92" i="20"/>
  <c r="D194" i="20"/>
  <c r="D17" i="20"/>
  <c r="E157" i="20"/>
  <c r="F40" i="20"/>
  <c r="D48" i="20"/>
  <c r="F50" i="20"/>
  <c r="D51" i="20"/>
  <c r="F137" i="20"/>
  <c r="D125" i="20"/>
  <c r="D224" i="20"/>
  <c r="D121" i="20"/>
  <c r="F110" i="20"/>
  <c r="D119" i="20"/>
  <c r="F66" i="20"/>
  <c r="Q82" i="20"/>
  <c r="F46" i="20"/>
  <c r="E71" i="20"/>
  <c r="D75" i="20"/>
  <c r="Q181" i="20"/>
  <c r="D112" i="20"/>
  <c r="Q137" i="20"/>
  <c r="D149" i="20"/>
  <c r="D124" i="20"/>
  <c r="D46" i="20"/>
  <c r="E130" i="20"/>
  <c r="Q130" i="20"/>
  <c r="Q206" i="20"/>
  <c r="D118" i="20"/>
  <c r="Q56" i="20"/>
  <c r="F49" i="20"/>
  <c r="D187" i="20"/>
  <c r="F129" i="20"/>
  <c r="Q194" i="20"/>
  <c r="E133" i="20"/>
  <c r="Q107" i="20"/>
  <c r="E146" i="20"/>
  <c r="F86" i="20"/>
  <c r="D157" i="20"/>
  <c r="F76" i="20"/>
  <c r="E126" i="20"/>
  <c r="Q105" i="20"/>
  <c r="D182" i="20"/>
  <c r="E102" i="20"/>
  <c r="E66" i="20"/>
  <c r="Q157" i="20"/>
  <c r="E184" i="20"/>
  <c r="D24" i="20"/>
  <c r="F136" i="20"/>
  <c r="E27" i="20"/>
  <c r="D69" i="20"/>
  <c r="F166" i="20"/>
  <c r="Q52" i="20"/>
  <c r="E161" i="20"/>
  <c r="Q190" i="20"/>
  <c r="F167" i="20"/>
  <c r="F107" i="20"/>
  <c r="Q64" i="20"/>
  <c r="Q211" i="20"/>
  <c r="Q184" i="20"/>
  <c r="D211" i="20"/>
  <c r="E175" i="20"/>
  <c r="E34" i="20"/>
  <c r="E206" i="20"/>
  <c r="Q147" i="20"/>
  <c r="D116" i="20"/>
  <c r="D134" i="20"/>
  <c r="D25" i="20"/>
  <c r="Q166" i="20"/>
  <c r="D147" i="20"/>
  <c r="Q133" i="20"/>
  <c r="D71" i="20"/>
  <c r="D19" i="20"/>
  <c r="E38" i="20"/>
  <c r="E88" i="20"/>
  <c r="D156" i="20"/>
  <c r="D196" i="20"/>
  <c r="F43" i="20"/>
  <c r="F81" i="20"/>
  <c r="Q54" i="20"/>
  <c r="D27" i="20"/>
  <c r="F114" i="20"/>
  <c r="D223" i="20"/>
  <c r="Q170" i="20"/>
  <c r="F211" i="20"/>
  <c r="E195" i="20"/>
  <c r="D49" i="20"/>
  <c r="D144" i="20"/>
  <c r="Q96" i="20"/>
  <c r="E185" i="20"/>
  <c r="E125" i="20"/>
  <c r="Q145" i="20"/>
  <c r="D198" i="20"/>
  <c r="Q103" i="20"/>
  <c r="Q67" i="20"/>
  <c r="F120" i="20"/>
  <c r="E44" i="20"/>
  <c r="F25" i="20"/>
  <c r="F181" i="20"/>
  <c r="E152" i="20"/>
  <c r="Q224" i="20"/>
  <c r="D42" i="20"/>
  <c r="E217" i="20"/>
  <c r="E43" i="20"/>
  <c r="E123" i="20"/>
  <c r="F153" i="20"/>
  <c r="F65" i="20"/>
  <c r="E40" i="20"/>
  <c r="F57" i="20"/>
  <c r="D152" i="20"/>
  <c r="E198" i="20"/>
  <c r="Q227" i="20"/>
  <c r="E221" i="20"/>
  <c r="F70" i="20"/>
  <c r="F198" i="20"/>
  <c r="E15" i="20"/>
  <c r="E55" i="20"/>
  <c r="F135" i="20"/>
  <c r="F132" i="20"/>
  <c r="E21" i="20"/>
  <c r="D28" i="20"/>
  <c r="Q68" i="20"/>
  <c r="F116" i="20"/>
  <c r="D143" i="20"/>
  <c r="E212" i="20"/>
  <c r="F38" i="20"/>
  <c r="Q151" i="20"/>
  <c r="Q119" i="20"/>
  <c r="E182" i="20"/>
  <c r="F72" i="20"/>
  <c r="F170" i="20"/>
  <c r="E116" i="20"/>
  <c r="F176" i="20"/>
  <c r="E67" i="20"/>
  <c r="D114" i="20"/>
  <c r="D87" i="20"/>
  <c r="Q225" i="20"/>
  <c r="Q108" i="20"/>
  <c r="D18" i="20"/>
  <c r="E68" i="20"/>
  <c r="F125" i="20"/>
  <c r="Q158" i="20"/>
  <c r="Q164" i="20"/>
  <c r="E183" i="20"/>
  <c r="D77" i="20"/>
  <c r="Q58" i="20"/>
  <c r="E82" i="20"/>
  <c r="Q136" i="20"/>
  <c r="D44" i="20"/>
  <c r="D126" i="20"/>
  <c r="E178" i="20"/>
  <c r="E77" i="20"/>
  <c r="E106" i="20"/>
  <c r="F21" i="20"/>
  <c r="F199" i="20"/>
  <c r="Q111" i="20"/>
  <c r="Q123" i="20"/>
  <c r="E51" i="20"/>
  <c r="D213" i="20"/>
  <c r="F94" i="20"/>
  <c r="D204" i="20"/>
  <c r="D203" i="20"/>
  <c r="F109" i="20"/>
  <c r="E62" i="20"/>
  <c r="E48" i="20"/>
  <c r="Q163" i="20"/>
  <c r="E18" i="20"/>
  <c r="D96" i="20"/>
  <c r="Q169" i="20"/>
  <c r="F203" i="20"/>
  <c r="Q109" i="20"/>
  <c r="Q125" i="20"/>
  <c r="E201" i="20"/>
  <c r="Q176" i="20"/>
  <c r="Q106" i="20"/>
  <c r="F156" i="20"/>
  <c r="D207" i="20"/>
  <c r="F171" i="20"/>
  <c r="D115" i="20"/>
  <c r="Q186" i="20"/>
  <c r="Q140" i="20"/>
  <c r="E169" i="20"/>
  <c r="F79" i="20"/>
  <c r="F159" i="20"/>
  <c r="Q71" i="20"/>
  <c r="D120" i="20"/>
  <c r="E112" i="20"/>
  <c r="F56" i="20"/>
  <c r="E56" i="20"/>
  <c r="F207" i="20"/>
  <c r="Q60" i="20"/>
  <c r="D36" i="20"/>
  <c r="F97" i="20"/>
  <c r="F89" i="20"/>
  <c r="F140" i="20"/>
  <c r="E76" i="20"/>
  <c r="F55" i="20"/>
  <c r="Q165" i="20"/>
  <c r="E151" i="20"/>
  <c r="F23" i="20"/>
  <c r="Q159" i="20"/>
  <c r="E120" i="20"/>
  <c r="F217" i="20"/>
  <c r="D217" i="20"/>
  <c r="F138" i="20"/>
  <c r="F113" i="20"/>
  <c r="D205" i="20"/>
  <c r="E156" i="20"/>
  <c r="E98" i="20"/>
  <c r="F98" i="20"/>
  <c r="Q97" i="20"/>
  <c r="D32" i="20"/>
  <c r="F158" i="20"/>
  <c r="E168" i="20"/>
  <c r="Q131" i="20"/>
  <c r="Q208" i="20"/>
  <c r="D168" i="20"/>
  <c r="F123" i="20"/>
  <c r="D91" i="20"/>
  <c r="D183" i="20"/>
  <c r="Q83" i="20"/>
  <c r="D142" i="20"/>
  <c r="E191" i="20"/>
  <c r="F87" i="20"/>
  <c r="D110" i="20"/>
  <c r="D220" i="20"/>
  <c r="Q223" i="20"/>
  <c r="Q74" i="20"/>
  <c r="Q142" i="20"/>
  <c r="E219" i="20"/>
  <c r="D135" i="20"/>
  <c r="Q59" i="20"/>
  <c r="D214" i="20"/>
  <c r="E105" i="20"/>
  <c r="D80" i="20"/>
  <c r="E58" i="20"/>
  <c r="E95" i="20"/>
  <c r="F162" i="20"/>
  <c r="E162" i="20"/>
  <c r="Q102" i="20"/>
  <c r="E174" i="20"/>
  <c r="D52" i="20"/>
  <c r="Q210" i="20"/>
  <c r="E192" i="20"/>
  <c r="F62" i="20"/>
  <c r="Q66" i="20"/>
  <c r="F216" i="20"/>
  <c r="F168" i="20"/>
  <c r="D172" i="20"/>
  <c r="D53" i="20"/>
  <c r="F91" i="20"/>
  <c r="Q153" i="20"/>
  <c r="F169" i="20"/>
  <c r="Q120" i="20"/>
  <c r="Q201" i="20"/>
  <c r="E65" i="20"/>
  <c r="D38" i="20"/>
  <c r="Q138" i="20"/>
  <c r="Q154" i="20"/>
  <c r="E26" i="20"/>
  <c r="D76" i="20"/>
  <c r="E17" i="20"/>
  <c r="F214" i="20"/>
  <c r="F33" i="20"/>
  <c r="Q115" i="20"/>
  <c r="Q126" i="20"/>
  <c r="D117" i="20"/>
  <c r="E41" i="20"/>
  <c r="F101" i="20"/>
  <c r="Q191" i="20"/>
  <c r="F84" i="20"/>
  <c r="Q202" i="20"/>
  <c r="D29" i="20"/>
  <c r="E209" i="20"/>
  <c r="E29" i="20"/>
  <c r="Q117" i="20"/>
  <c r="F36" i="20"/>
  <c r="D41" i="20"/>
  <c r="Q175" i="20"/>
  <c r="F20" i="20"/>
  <c r="F195" i="20"/>
  <c r="D155" i="20"/>
  <c r="E129" i="20"/>
  <c r="E85" i="20"/>
  <c r="Q212" i="20"/>
  <c r="F61" i="20"/>
  <c r="D109" i="20"/>
  <c r="D185" i="20"/>
  <c r="E155" i="20"/>
  <c r="F39" i="20"/>
  <c r="E135" i="20"/>
  <c r="F175" i="20"/>
  <c r="E117" i="20"/>
  <c r="E150" i="20"/>
  <c r="Q200" i="20"/>
  <c r="E154" i="20"/>
  <c r="F182" i="20"/>
  <c r="Q57" i="20"/>
  <c r="E128" i="20"/>
  <c r="D16" i="20"/>
  <c r="D15" i="20"/>
  <c r="D61" i="20"/>
  <c r="F134" i="20"/>
  <c r="E193" i="20"/>
  <c r="Q139" i="20"/>
  <c r="E119" i="20"/>
  <c r="Q199" i="20"/>
  <c r="Q62" i="20"/>
  <c r="D45" i="20"/>
  <c r="F126" i="20"/>
  <c r="E180" i="20"/>
  <c r="Q178" i="20"/>
  <c r="D154" i="20"/>
  <c r="F215" i="20"/>
  <c r="F196" i="20"/>
  <c r="Q218" i="20"/>
  <c r="F144" i="20"/>
  <c r="F29" i="20"/>
  <c r="Q155" i="20"/>
  <c r="Q95" i="20"/>
  <c r="Q183" i="20"/>
  <c r="D200" i="20"/>
  <c r="F17" i="20"/>
  <c r="D128" i="20"/>
  <c r="E225" i="20"/>
  <c r="F47" i="20"/>
  <c r="D23" i="20"/>
  <c r="F143" i="20"/>
  <c r="E42" i="20"/>
  <c r="Q188" i="20"/>
  <c r="D169" i="20"/>
  <c r="F85" i="20"/>
  <c r="Q94" i="20"/>
  <c r="E143" i="20"/>
  <c r="E127" i="20"/>
  <c r="E79" i="20"/>
  <c r="Q161" i="20"/>
  <c r="F202" i="20"/>
  <c r="E131" i="20"/>
  <c r="F53" i="20"/>
  <c r="E70" i="20"/>
  <c r="D160" i="20"/>
  <c r="E108" i="20"/>
  <c r="Q156" i="20"/>
  <c r="E39" i="20"/>
  <c r="F146" i="20"/>
  <c r="E74" i="20"/>
  <c r="D222" i="20"/>
  <c r="E30" i="20"/>
  <c r="Q127" i="20"/>
  <c r="E222" i="20"/>
  <c r="Q187" i="20"/>
  <c r="F218" i="20"/>
  <c r="D131" i="20"/>
  <c r="D137" i="20"/>
  <c r="F83" i="20"/>
  <c r="Q177" i="20"/>
  <c r="E179" i="20"/>
  <c r="D193" i="20"/>
  <c r="Q172" i="20"/>
  <c r="D165" i="20"/>
  <c r="E205" i="20"/>
  <c r="D218" i="20"/>
  <c r="D56" i="20"/>
  <c r="E176" i="20"/>
  <c r="Q193" i="20"/>
  <c r="E91" i="20"/>
  <c r="D176" i="20"/>
  <c r="Q100" i="20"/>
  <c r="Q73" i="20"/>
  <c r="D68" i="20"/>
  <c r="F108" i="20"/>
  <c r="E186" i="20"/>
  <c r="Q93" i="20"/>
  <c r="D210" i="20"/>
  <c r="D73" i="20"/>
  <c r="Q197" i="20"/>
  <c r="D107" i="20"/>
  <c r="E86" i="20"/>
  <c r="Q92" i="20"/>
  <c r="D206" i="20"/>
  <c r="F165" i="20"/>
  <c r="E204" i="20"/>
  <c r="D104" i="20"/>
  <c r="D129" i="20"/>
  <c r="F73" i="20"/>
  <c r="D191" i="20"/>
  <c r="F219" i="20"/>
  <c r="Q134" i="20"/>
  <c r="D50" i="20"/>
  <c r="D151" i="20"/>
  <c r="E60" i="20"/>
  <c r="D82" i="20"/>
  <c r="F187" i="20"/>
  <c r="Q160" i="20"/>
  <c r="Q75" i="20"/>
  <c r="E163" i="20"/>
  <c r="D67" i="20"/>
  <c r="F32" i="20"/>
  <c r="F131" i="20"/>
  <c r="Q116" i="20"/>
  <c r="E223" i="20"/>
  <c r="D227" i="20"/>
  <c r="E141" i="20"/>
  <c r="F22" i="20"/>
  <c r="Q196" i="20"/>
  <c r="F69" i="20"/>
  <c r="F210" i="20"/>
  <c r="F179" i="20"/>
  <c r="D167" i="20"/>
  <c r="F141" i="20"/>
  <c r="Q128" i="20"/>
  <c r="F80" i="20"/>
  <c r="D184" i="20"/>
  <c r="D190" i="20"/>
  <c r="D159" i="20"/>
  <c r="D146" i="20"/>
  <c r="Q217" i="20"/>
  <c r="Q84" i="20"/>
  <c r="Q118" i="20"/>
  <c r="E53" i="20"/>
  <c r="Q180" i="20"/>
  <c r="Q173" i="20"/>
  <c r="Q69" i="20"/>
  <c r="D31" i="20"/>
  <c r="E213" i="20"/>
  <c r="F194" i="20"/>
  <c r="D37" i="20"/>
  <c r="F45" i="20"/>
  <c r="E203" i="20"/>
  <c r="Q114" i="20"/>
  <c r="E153" i="20"/>
  <c r="D74" i="20"/>
  <c r="D221" i="20"/>
  <c r="E69" i="20"/>
  <c r="E142" i="20"/>
  <c r="Q81" i="20"/>
  <c r="E33" i="20"/>
  <c r="F34" i="20"/>
  <c r="D195" i="20"/>
  <c r="D212" i="20"/>
  <c r="F205" i="20"/>
  <c r="E224" i="20"/>
  <c r="Q80" i="20"/>
  <c r="E16" i="20"/>
  <c r="D35" i="20"/>
  <c r="E87" i="20"/>
  <c r="D26" i="20"/>
  <c r="Q213" i="20"/>
  <c r="F27" i="20"/>
  <c r="D43" i="20"/>
  <c r="Q167" i="20"/>
  <c r="F26" i="20"/>
  <c r="E202" i="20"/>
  <c r="F60" i="20"/>
  <c r="Q220" i="20"/>
  <c r="F193" i="20"/>
  <c r="E227" i="20"/>
  <c r="F104" i="20"/>
  <c r="D186" i="20"/>
  <c r="F59" i="20"/>
  <c r="F77" i="20"/>
  <c r="E210" i="20"/>
  <c r="F223" i="20"/>
  <c r="F106" i="20"/>
  <c r="D79" i="20"/>
  <c r="Q219" i="20"/>
  <c r="E134" i="20"/>
  <c r="E139" i="20"/>
  <c r="E220" i="20"/>
  <c r="E54" i="20"/>
  <c r="D178" i="20"/>
  <c r="Q148" i="20"/>
  <c r="Q171" i="20"/>
  <c r="D161" i="20"/>
  <c r="D209" i="20"/>
  <c r="Q222" i="20"/>
  <c r="D122" i="20"/>
  <c r="F186" i="20"/>
  <c r="F178" i="20"/>
  <c r="Q216" i="20"/>
  <c r="D65" i="20"/>
  <c r="Q221" i="20"/>
  <c r="D105" i="20"/>
  <c r="Q110" i="20"/>
  <c r="E144" i="20"/>
  <c r="F209" i="20"/>
  <c r="Q143" i="20"/>
  <c r="D141" i="20"/>
  <c r="E189" i="20"/>
  <c r="D30" i="20"/>
  <c r="Q214" i="20"/>
  <c r="E109" i="20"/>
  <c r="E115" i="20"/>
  <c r="F64" i="20"/>
  <c r="Q129" i="20"/>
  <c r="E215" i="20"/>
  <c r="F184" i="20"/>
  <c r="Q61" i="20"/>
  <c r="F183" i="20"/>
  <c r="D181" i="20"/>
  <c r="E83" i="20"/>
  <c r="D22" i="20"/>
  <c r="E113" i="20"/>
  <c r="Q185" i="20"/>
  <c r="E132" i="20"/>
  <c r="F44" i="20"/>
  <c r="Q207" i="20"/>
  <c r="D20" i="20"/>
  <c r="Q53" i="20"/>
  <c r="Q76" i="20"/>
  <c r="F111" i="20"/>
  <c r="D40" i="20"/>
  <c r="F222" i="20"/>
  <c r="D174" i="20"/>
  <c r="D171" i="20"/>
  <c r="F128" i="20"/>
  <c r="E63" i="20"/>
  <c r="Q55" i="20"/>
  <c r="D145" i="20"/>
  <c r="F88" i="20"/>
  <c r="F41" i="20"/>
  <c r="Q65" i="20"/>
  <c r="F204" i="20"/>
  <c r="F117" i="20"/>
  <c r="E37" i="20"/>
  <c r="E47" i="20"/>
  <c r="D136" i="20"/>
  <c r="F177" i="20"/>
  <c r="E187" i="20"/>
  <c r="E49" i="20"/>
  <c r="D162" i="20"/>
  <c r="D153" i="20"/>
  <c r="D166" i="20"/>
  <c r="D33" i="20"/>
  <c r="F99" i="20"/>
  <c r="Q63" i="20"/>
  <c r="F226" i="20"/>
  <c r="Q198" i="20"/>
  <c r="D72" i="20"/>
  <c r="Q146" i="20"/>
  <c r="E45" i="20"/>
  <c r="D132" i="20"/>
  <c r="D226" i="20"/>
  <c r="E28" i="20"/>
  <c r="Q204" i="20"/>
  <c r="E50" i="20"/>
  <c r="D21" i="20"/>
  <c r="E199" i="20"/>
  <c r="D99" i="20"/>
  <c r="F18" i="20"/>
  <c r="F119" i="20"/>
  <c r="D70" i="20"/>
  <c r="Q91" i="20"/>
  <c r="F149" i="20"/>
  <c r="Q189" i="20"/>
  <c r="Q132" i="20"/>
  <c r="E226" i="20"/>
  <c r="Q205" i="20"/>
  <c r="Q101" i="20"/>
  <c r="F30" i="20"/>
  <c r="F37" i="20"/>
  <c r="E140" i="20"/>
  <c r="F174" i="20"/>
  <c r="D150" i="20"/>
  <c r="E114" i="20"/>
  <c r="D180" i="20"/>
  <c r="F212" i="20"/>
  <c r="D64" i="20"/>
  <c r="Q86" i="20"/>
  <c r="F164" i="20"/>
  <c r="F121" i="20"/>
  <c r="Q209" i="20"/>
  <c r="F71" i="20"/>
  <c r="Q77" i="20"/>
  <c r="D216" i="20"/>
  <c r="D138" i="20"/>
  <c r="E138" i="20"/>
  <c r="Q121" i="20"/>
  <c r="E208" i="20"/>
  <c r="F90" i="20"/>
  <c r="D189" i="20"/>
  <c r="D39" i="20"/>
  <c r="D58" i="20"/>
  <c r="D84" i="20"/>
  <c r="E84" i="20"/>
  <c r="E149" i="20"/>
  <c r="Q88" i="20"/>
  <c r="D179" i="20"/>
  <c r="F225" i="20"/>
  <c r="E147" i="20"/>
  <c r="D127" i="20"/>
  <c r="D54" i="20"/>
  <c r="E190" i="20"/>
  <c r="Q90" i="20"/>
  <c r="D78" i="20"/>
  <c r="F16" i="20"/>
  <c r="E214" i="20"/>
  <c r="E173" i="20"/>
  <c r="E207" i="20"/>
  <c r="D93" i="20"/>
  <c r="E158" i="20"/>
  <c r="D170" i="20"/>
  <c r="D197" i="20"/>
  <c r="F206" i="20"/>
  <c r="D177" i="20"/>
  <c r="Q98" i="20"/>
  <c r="E136" i="20"/>
  <c r="D133" i="20"/>
  <c r="E80" i="20"/>
  <c r="F148" i="20"/>
  <c r="D225" i="20"/>
  <c r="E100" i="20"/>
  <c r="Q70" i="20"/>
  <c r="D90" i="20"/>
  <c r="E104" i="20"/>
  <c r="E96" i="20"/>
  <c r="F185" i="20"/>
  <c r="D219" i="20"/>
  <c r="D97" i="20"/>
  <c r="F221" i="20"/>
  <c r="F190" i="20"/>
  <c r="E211" i="20"/>
  <c r="Q195" i="20"/>
  <c r="D106" i="20"/>
  <c r="E181" i="20"/>
  <c r="E111" i="20"/>
  <c r="E194" i="20"/>
  <c r="E57" i="20"/>
  <c r="D98" i="20"/>
  <c r="E36" i="20"/>
  <c r="E31" i="20"/>
  <c r="D85" i="20"/>
  <c r="E75" i="20"/>
  <c r="E171" i="20"/>
  <c r="E22" i="20"/>
  <c r="E24" i="20"/>
  <c r="Q192" i="20"/>
  <c r="D188" i="20"/>
  <c r="Q87" i="20"/>
  <c r="E172" i="20"/>
  <c r="D81" i="20"/>
  <c r="Q182" i="20"/>
  <c r="F31" i="20"/>
  <c r="F75" i="20"/>
  <c r="E118" i="20"/>
  <c r="D66" i="20"/>
  <c r="E35" i="20"/>
  <c r="F201" i="20"/>
  <c r="E64" i="20"/>
  <c r="E23" i="20"/>
  <c r="Q79" i="20"/>
  <c r="F227" i="20"/>
  <c r="D113" i="20"/>
  <c r="F58" i="20"/>
  <c r="F200" i="20"/>
  <c r="D102" i="20"/>
  <c r="Q215" i="20"/>
  <c r="E107" i="20"/>
  <c r="Q78" i="20"/>
  <c r="D92" i="20"/>
  <c r="D57" i="20"/>
  <c r="F160" i="20"/>
  <c r="D164" i="20"/>
  <c r="D101" i="20"/>
  <c r="F74" i="20"/>
  <c r="F35" i="20"/>
  <c r="F213" i="20"/>
  <c r="F172" i="20"/>
  <c r="E97" i="20"/>
  <c r="E78" i="20"/>
  <c r="F147" i="20"/>
  <c r="D88" i="20"/>
  <c r="F52" i="20"/>
  <c r="F24" i="20"/>
  <c r="E110" i="20"/>
  <c r="Q226" i="20"/>
  <c r="F102" i="20"/>
  <c r="E200" i="20"/>
  <c r="Q122" i="20"/>
  <c r="Q179" i="20"/>
  <c r="F96" i="20"/>
  <c r="D158" i="20"/>
  <c r="F151" i="20"/>
  <c r="E218" i="20"/>
  <c r="Q104" i="20"/>
  <c r="F19" i="20"/>
  <c r="F157" i="20"/>
  <c r="F51" i="20"/>
  <c r="Q99" i="20"/>
  <c r="E159" i="20"/>
  <c r="E90" i="20"/>
  <c r="F127" i="20"/>
  <c r="Q85" i="20"/>
  <c r="E197" i="20"/>
  <c r="Q72" i="20"/>
  <c r="D86" i="20"/>
  <c r="Q162" i="20"/>
  <c r="F224" i="20"/>
  <c r="E124" i="20"/>
  <c r="F15" i="20"/>
  <c r="F154" i="20"/>
  <c r="E160" i="20"/>
  <c r="F118" i="20"/>
  <c r="E32" i="20"/>
  <c r="F124" i="20"/>
  <c r="F197" i="20"/>
  <c r="D59" i="20"/>
  <c r="F68" i="20"/>
  <c r="F145" i="20"/>
  <c r="F173" i="20"/>
  <c r="E177" i="20"/>
  <c r="D34" i="20"/>
  <c r="F191" i="20"/>
  <c r="F95" i="20"/>
  <c r="D89" i="20"/>
  <c r="Q174" i="20"/>
  <c r="F180" i="20"/>
  <c r="D60" i="20"/>
  <c r="D111" i="20"/>
  <c r="E72" i="20"/>
  <c r="E25" i="20"/>
  <c r="E93" i="20"/>
  <c r="F48" i="20"/>
  <c r="F163" i="20"/>
  <c r="E145" i="20"/>
  <c r="F28" i="20"/>
  <c r="F188" i="20"/>
  <c r="E167" i="20"/>
  <c r="Q168" i="20"/>
  <c r="F54" i="20"/>
  <c r="E148" i="20"/>
  <c r="Q203" i="20"/>
  <c r="F115" i="20"/>
  <c r="D175" i="20"/>
  <c r="D100" i="20"/>
  <c r="F112" i="20"/>
  <c r="D123" i="20"/>
  <c r="E170" i="20"/>
  <c r="E61" i="20"/>
  <c r="F133" i="20"/>
  <c r="Q124" i="20"/>
  <c r="E101" i="20"/>
  <c r="F220" i="20"/>
  <c r="E59" i="20"/>
  <c r="D199" i="20"/>
  <c r="F63" i="20"/>
  <c r="F142" i="20"/>
  <c r="Q89" i="20"/>
  <c r="E73" i="20"/>
  <c r="E216" i="20"/>
  <c r="Q152" i="20"/>
  <c r="F78" i="20"/>
  <c r="F150" i="20"/>
  <c r="F139" i="20"/>
  <c r="D192" i="20"/>
  <c r="E137" i="20"/>
  <c r="E165" i="20"/>
  <c r="D201" i="20"/>
  <c r="D139" i="20"/>
  <c r="D140" i="20"/>
  <c r="F152" i="20"/>
  <c r="F192" i="20"/>
  <c r="E166" i="20"/>
  <c r="D208" i="20"/>
  <c r="E164" i="20"/>
  <c r="F208" i="20"/>
  <c r="E52" i="20"/>
  <c r="F93" i="20"/>
  <c r="E19" i="20"/>
  <c r="F189" i="20"/>
  <c r="F155" i="20"/>
  <c r="F130" i="20"/>
  <c r="D130" i="20"/>
  <c r="E121" i="20"/>
  <c r="D94" i="20"/>
  <c r="F103" i="20"/>
  <c r="E188" i="20"/>
  <c r="Q112" i="20"/>
  <c r="Q135" i="20"/>
  <c r="D148" i="20"/>
  <c r="Q150" i="20"/>
  <c r="E103" i="20"/>
  <c r="F42" i="20"/>
  <c r="D163" i="20"/>
  <c r="F82" i="20"/>
  <c r="E89" i="20"/>
  <c r="Q149" i="20"/>
  <c r="D83" i="20"/>
  <c r="Q141" i="20"/>
  <c r="Q144" i="20"/>
  <c r="F161" i="20"/>
  <c r="D95" i="20"/>
  <c r="D62" i="20"/>
  <c r="D103" i="20"/>
  <c r="E196" i="20"/>
  <c r="F105" i="20"/>
  <c r="Q113" i="20"/>
  <c r="A1" i="18" l="1"/>
  <c r="P29" i="18"/>
  <c r="P27" i="18"/>
  <c r="P22" i="18"/>
  <c r="P16" i="18"/>
  <c r="P17" i="18"/>
  <c r="P18" i="18"/>
  <c r="P15" i="18"/>
  <c r="P28" i="18"/>
  <c r="P19" i="18"/>
  <c r="P20" i="18"/>
  <c r="P25" i="18"/>
  <c r="P26" i="18"/>
  <c r="P21" i="18"/>
  <c r="P24" i="18"/>
  <c r="P23" i="18"/>
  <c r="P30" i="18"/>
  <c r="P31" i="18"/>
  <c r="P32" i="18"/>
  <c r="P33" i="18"/>
  <c r="P34" i="18"/>
  <c r="P35" i="18"/>
  <c r="P36" i="18"/>
  <c r="P37" i="18"/>
  <c r="P38" i="18"/>
  <c r="P39" i="18"/>
  <c r="P40" i="18"/>
  <c r="P41" i="18"/>
  <c r="P42" i="18"/>
  <c r="P43" i="18"/>
  <c r="P44" i="18"/>
  <c r="P45" i="18"/>
  <c r="P46" i="18"/>
  <c r="P47" i="18"/>
  <c r="P48" i="18"/>
  <c r="P49" i="18"/>
  <c r="P50" i="18"/>
  <c r="P51" i="18"/>
  <c r="P52" i="18"/>
  <c r="P53" i="18"/>
  <c r="P54" i="18"/>
  <c r="P55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71" i="18"/>
  <c r="P72" i="18"/>
  <c r="P73" i="18"/>
  <c r="P74" i="18"/>
  <c r="P75" i="18"/>
  <c r="P76" i="18"/>
  <c r="P77" i="18"/>
  <c r="P78" i="18"/>
  <c r="P79" i="18"/>
  <c r="P80" i="18"/>
  <c r="P81" i="18"/>
  <c r="P82" i="18"/>
  <c r="P83" i="18"/>
  <c r="P84" i="18"/>
  <c r="P85" i="18"/>
  <c r="P86" i="18"/>
  <c r="P87" i="18"/>
  <c r="P88" i="18"/>
  <c r="P89" i="18"/>
  <c r="P90" i="18"/>
  <c r="P91" i="18"/>
  <c r="P92" i="18"/>
  <c r="P93" i="18"/>
  <c r="P94" i="18"/>
  <c r="P95" i="18"/>
  <c r="P96" i="18"/>
  <c r="P97" i="18"/>
  <c r="P98" i="18"/>
  <c r="P99" i="18"/>
  <c r="P100" i="18"/>
  <c r="P101" i="18"/>
  <c r="P102" i="18"/>
  <c r="P103" i="18"/>
  <c r="P104" i="18"/>
  <c r="P105" i="18"/>
  <c r="P106" i="18"/>
  <c r="P107" i="18"/>
  <c r="P108" i="18"/>
  <c r="P109" i="18"/>
  <c r="P110" i="18"/>
  <c r="P111" i="18"/>
  <c r="P112" i="18"/>
  <c r="P113" i="18"/>
  <c r="P114" i="18"/>
  <c r="P115" i="18"/>
  <c r="P116" i="18"/>
  <c r="P117" i="18"/>
  <c r="P118" i="18"/>
  <c r="P119" i="18"/>
  <c r="P120" i="18"/>
  <c r="P121" i="18"/>
  <c r="P122" i="18"/>
  <c r="P123" i="18"/>
  <c r="P124" i="18"/>
  <c r="P125" i="18"/>
  <c r="P126" i="18"/>
  <c r="P127" i="18"/>
  <c r="P128" i="18"/>
  <c r="P129" i="18"/>
  <c r="P130" i="18"/>
  <c r="P131" i="18"/>
  <c r="P132" i="18"/>
  <c r="P133" i="18"/>
  <c r="P134" i="18"/>
  <c r="P135" i="18"/>
  <c r="P136" i="18"/>
  <c r="P137" i="18"/>
  <c r="P138" i="18"/>
  <c r="P139" i="18"/>
  <c r="P140" i="18"/>
  <c r="P141" i="18"/>
  <c r="P142" i="18"/>
  <c r="P143" i="18"/>
  <c r="P144" i="18"/>
  <c r="P145" i="18"/>
  <c r="P146" i="18"/>
  <c r="P147" i="18"/>
  <c r="P148" i="18"/>
  <c r="P149" i="18"/>
  <c r="P150" i="18"/>
  <c r="P151" i="18"/>
  <c r="P152" i="18"/>
  <c r="P153" i="18"/>
  <c r="P154" i="18"/>
  <c r="P155" i="18"/>
  <c r="P156" i="18"/>
  <c r="P157" i="18"/>
  <c r="P158" i="18"/>
  <c r="P159" i="18"/>
  <c r="P160" i="18"/>
  <c r="P161" i="18"/>
  <c r="P162" i="18"/>
  <c r="P163" i="18"/>
  <c r="P164" i="18"/>
  <c r="P165" i="18"/>
  <c r="P166" i="18"/>
  <c r="P167" i="18"/>
  <c r="P168" i="18"/>
  <c r="P169" i="18"/>
  <c r="P170" i="18"/>
  <c r="P171" i="18"/>
  <c r="P172" i="18"/>
  <c r="P173" i="18"/>
  <c r="P174" i="18"/>
  <c r="P175" i="18"/>
  <c r="P176" i="18"/>
  <c r="P177" i="18"/>
  <c r="P178" i="18"/>
  <c r="P179" i="18"/>
  <c r="P180" i="18"/>
  <c r="P181" i="18"/>
  <c r="P182" i="18"/>
  <c r="P183" i="18"/>
  <c r="P184" i="18"/>
  <c r="P185" i="18"/>
  <c r="P186" i="18"/>
  <c r="P187" i="18"/>
  <c r="P188" i="18"/>
  <c r="P189" i="18"/>
  <c r="P190" i="18"/>
  <c r="P191" i="18"/>
  <c r="P192" i="18"/>
  <c r="P193" i="18"/>
  <c r="P194" i="18"/>
  <c r="P195" i="18"/>
  <c r="P196" i="18"/>
  <c r="P197" i="18"/>
  <c r="P198" i="18"/>
  <c r="P199" i="18"/>
  <c r="P200" i="18"/>
  <c r="P201" i="18"/>
  <c r="P202" i="18"/>
  <c r="P65" i="20"/>
  <c r="P183" i="20"/>
  <c r="P48" i="20"/>
  <c r="P169" i="20"/>
  <c r="P145" i="20"/>
  <c r="P152" i="20"/>
  <c r="P16" i="20"/>
  <c r="P151" i="20"/>
  <c r="P209" i="20"/>
  <c r="P219" i="20"/>
  <c r="P154" i="20"/>
  <c r="P131" i="20"/>
  <c r="P129" i="20"/>
  <c r="P114" i="20"/>
  <c r="P212" i="20"/>
  <c r="P139" i="20"/>
  <c r="P194" i="20"/>
  <c r="P112" i="20"/>
  <c r="P226" i="20"/>
  <c r="P179" i="20"/>
  <c r="P224" i="20"/>
  <c r="P77" i="20"/>
  <c r="P44" i="20"/>
  <c r="P181" i="20"/>
  <c r="P64" i="20"/>
  <c r="P158" i="20"/>
  <c r="P133" i="20"/>
  <c r="P95" i="20"/>
  <c r="P40" i="20"/>
  <c r="P45" i="20"/>
  <c r="P198" i="20"/>
  <c r="P57" i="20"/>
  <c r="P28" i="20"/>
  <c r="P24" i="20"/>
  <c r="P71" i="20"/>
  <c r="P58" i="20"/>
  <c r="P141" i="20"/>
  <c r="P199" i="20"/>
  <c r="P167" i="20"/>
  <c r="P132" i="20"/>
  <c r="P164" i="20"/>
  <c r="P85" i="20"/>
  <c r="P47" i="20"/>
  <c r="P128" i="20"/>
  <c r="P59" i="20"/>
  <c r="P73" i="20"/>
  <c r="P33" i="20"/>
  <c r="P96" i="20"/>
  <c r="P101" i="20"/>
  <c r="P142" i="20"/>
  <c r="P60" i="20"/>
  <c r="P76" i="20"/>
  <c r="P31" i="20"/>
  <c r="P107" i="20"/>
  <c r="P23" i="20"/>
  <c r="P138" i="20"/>
  <c r="P130" i="20"/>
  <c r="P103" i="20"/>
  <c r="P155" i="20"/>
  <c r="P125" i="20"/>
  <c r="P100" i="20"/>
  <c r="P178" i="20"/>
  <c r="P173" i="20"/>
  <c r="P119" i="20"/>
  <c r="P26" i="20"/>
  <c r="P220" i="20"/>
  <c r="P157" i="20"/>
  <c r="P148" i="20"/>
  <c r="P140" i="20"/>
  <c r="P210" i="20"/>
  <c r="P197" i="20"/>
  <c r="P216" i="20"/>
  <c r="P149" i="20"/>
  <c r="P41" i="20"/>
  <c r="P70" i="20"/>
  <c r="P62" i="20"/>
  <c r="P193" i="20"/>
  <c r="P68" i="20"/>
  <c r="P180" i="20"/>
  <c r="P81" i="20"/>
  <c r="P213" i="20"/>
  <c r="P156" i="20"/>
  <c r="P52" i="20"/>
  <c r="P146" i="20"/>
  <c r="P223" i="20"/>
  <c r="P201" i="20"/>
  <c r="P53" i="20"/>
  <c r="P69" i="20"/>
  <c r="P187" i="20"/>
  <c r="P83" i="20"/>
  <c r="P27" i="20"/>
  <c r="P88" i="20"/>
  <c r="P195" i="20"/>
  <c r="P94" i="20"/>
  <c r="P175" i="20"/>
  <c r="P184" i="20"/>
  <c r="P113" i="20"/>
  <c r="P15" i="20"/>
  <c r="P91" i="20"/>
  <c r="P171" i="20"/>
  <c r="P49" i="20"/>
  <c r="P192" i="20"/>
  <c r="P19" i="20"/>
  <c r="P134" i="20"/>
  <c r="P34" i="20"/>
  <c r="P46" i="20"/>
  <c r="P29" i="20"/>
  <c r="P87" i="20"/>
  <c r="P204" i="20"/>
  <c r="P189" i="20"/>
  <c r="P102" i="20"/>
  <c r="P207" i="20"/>
  <c r="P86" i="20"/>
  <c r="P61" i="20"/>
  <c r="P227" i="20"/>
  <c r="P84" i="20"/>
  <c r="P79" i="20"/>
  <c r="P153" i="20"/>
  <c r="P89" i="20"/>
  <c r="P39" i="20"/>
  <c r="P166" i="20"/>
  <c r="P159" i="20"/>
  <c r="P188" i="20"/>
  <c r="P137" i="20"/>
  <c r="P56" i="20"/>
  <c r="P118" i="20"/>
  <c r="P122" i="20"/>
  <c r="P36" i="20"/>
  <c r="P147" i="20"/>
  <c r="P18" i="20"/>
  <c r="P225" i="20"/>
  <c r="P211" i="20"/>
  <c r="P218" i="20"/>
  <c r="P92" i="20"/>
  <c r="P74" i="20"/>
  <c r="P93" i="20"/>
  <c r="P206" i="20"/>
  <c r="P182" i="20"/>
  <c r="P99" i="20"/>
  <c r="P215" i="20"/>
  <c r="P124" i="20"/>
  <c r="P90" i="20"/>
  <c r="P82" i="20"/>
  <c r="P105" i="20"/>
  <c r="P104" i="20"/>
  <c r="P54" i="20"/>
  <c r="P50" i="20"/>
  <c r="P35" i="20"/>
  <c r="P22" i="20"/>
  <c r="P106" i="20"/>
  <c r="P116" i="20"/>
  <c r="P51" i="20"/>
  <c r="P221" i="20"/>
  <c r="P165" i="20"/>
  <c r="P75" i="20"/>
  <c r="P185" i="20"/>
  <c r="P172" i="20"/>
  <c r="P120" i="20"/>
  <c r="P160" i="20"/>
  <c r="P196" i="20"/>
  <c r="P161" i="20"/>
  <c r="P214" i="20"/>
  <c r="P110" i="20"/>
  <c r="P135" i="20"/>
  <c r="P20" i="20"/>
  <c r="P123" i="20"/>
  <c r="P208" i="20"/>
  <c r="P63" i="20"/>
  <c r="P222" i="20"/>
  <c r="P162" i="20"/>
  <c r="P38" i="20"/>
  <c r="P67" i="20"/>
  <c r="P163" i="20"/>
  <c r="P30" i="20"/>
  <c r="P217" i="20"/>
  <c r="P43" i="20"/>
  <c r="P32" i="20"/>
  <c r="P143" i="20"/>
  <c r="P190" i="20"/>
  <c r="P200" i="20"/>
  <c r="P109" i="20"/>
  <c r="P17" i="20"/>
  <c r="P191" i="20"/>
  <c r="P202" i="20"/>
  <c r="P136" i="20"/>
  <c r="P150" i="20"/>
  <c r="P25" i="20"/>
  <c r="P126" i="20"/>
  <c r="P121" i="20"/>
  <c r="P78" i="20"/>
  <c r="P108" i="20"/>
  <c r="P117" i="20"/>
  <c r="P176" i="20"/>
  <c r="P66" i="20"/>
  <c r="P42" i="20"/>
  <c r="P111" i="20"/>
  <c r="P168" i="20"/>
  <c r="P127" i="20"/>
  <c r="P174" i="20"/>
  <c r="P170" i="20"/>
  <c r="P177" i="20"/>
  <c r="P144" i="20"/>
  <c r="P72" i="20"/>
  <c r="P80" i="20"/>
  <c r="P55" i="20"/>
  <c r="P115" i="20"/>
  <c r="P205" i="20"/>
  <c r="P97" i="20"/>
  <c r="P186" i="20"/>
  <c r="P37" i="20"/>
  <c r="P98" i="20"/>
  <c r="P21" i="20"/>
  <c r="P203" i="20"/>
  <c r="P13" i="20" l="1"/>
  <c r="P13" i="18"/>
  <c r="H27" i="18"/>
  <c r="H22" i="18"/>
  <c r="H16" i="18"/>
  <c r="H17" i="18"/>
  <c r="H18" i="18"/>
  <c r="H15" i="18"/>
  <c r="H28" i="18"/>
  <c r="H19" i="18"/>
  <c r="H20" i="18"/>
  <c r="H25" i="18"/>
  <c r="H26" i="18"/>
  <c r="H21" i="18"/>
  <c r="H24" i="18"/>
  <c r="H23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G29" i="18"/>
  <c r="G27" i="18"/>
  <c r="G22" i="18"/>
  <c r="G16" i="18"/>
  <c r="G17" i="18"/>
  <c r="G18" i="18"/>
  <c r="G15" i="18"/>
  <c r="G28" i="18"/>
  <c r="G19" i="18"/>
  <c r="G20" i="18"/>
  <c r="G25" i="18"/>
  <c r="G26" i="18"/>
  <c r="Q26" i="18" s="1"/>
  <c r="G21" i="18"/>
  <c r="Q21" i="18" s="1"/>
  <c r="G24" i="18"/>
  <c r="Q24" i="18" s="1"/>
  <c r="G23" i="18"/>
  <c r="Q23" i="18" s="1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94" i="20"/>
  <c r="G72" i="20"/>
  <c r="G207" i="20"/>
  <c r="H200" i="20"/>
  <c r="G169" i="20"/>
  <c r="G108" i="20"/>
  <c r="G221" i="20"/>
  <c r="H25" i="20"/>
  <c r="H157" i="20"/>
  <c r="G165" i="20"/>
  <c r="H180" i="20"/>
  <c r="H220" i="20"/>
  <c r="G136" i="20"/>
  <c r="G63" i="20"/>
  <c r="G87" i="20"/>
  <c r="H143" i="20"/>
  <c r="H221" i="20"/>
  <c r="G121" i="20"/>
  <c r="G163" i="20"/>
  <c r="H73" i="20"/>
  <c r="G144" i="20"/>
  <c r="G34" i="20"/>
  <c r="H129" i="20"/>
  <c r="G29" i="20"/>
  <c r="G42" i="20"/>
  <c r="G120" i="20"/>
  <c r="H156" i="20"/>
  <c r="G103" i="20"/>
  <c r="H172" i="20"/>
  <c r="G197" i="20"/>
  <c r="H93" i="20"/>
  <c r="G141" i="20"/>
  <c r="H26" i="20"/>
  <c r="G218" i="20"/>
  <c r="H88" i="20"/>
  <c r="H169" i="20"/>
  <c r="G23" i="20"/>
  <c r="G216" i="20"/>
  <c r="H54" i="20"/>
  <c r="H186" i="20"/>
  <c r="H146" i="20"/>
  <c r="H130" i="20"/>
  <c r="Q48" i="20"/>
  <c r="G188" i="20"/>
  <c r="G174" i="20"/>
  <c r="G184" i="20"/>
  <c r="G26" i="20"/>
  <c r="H107" i="20"/>
  <c r="H203" i="20"/>
  <c r="G93" i="20"/>
  <c r="H155" i="20"/>
  <c r="G209" i="20"/>
  <c r="G118" i="20"/>
  <c r="H20" i="20"/>
  <c r="G203" i="20"/>
  <c r="H87" i="20"/>
  <c r="G37" i="20"/>
  <c r="H94" i="20"/>
  <c r="H18" i="20"/>
  <c r="H225" i="20"/>
  <c r="G193" i="20"/>
  <c r="G41" i="20"/>
  <c r="H103" i="20"/>
  <c r="H184" i="20"/>
  <c r="G112" i="20"/>
  <c r="G57" i="20"/>
  <c r="G126" i="20"/>
  <c r="G89" i="20"/>
  <c r="G195" i="20"/>
  <c r="G177" i="20"/>
  <c r="H127" i="20"/>
  <c r="G138" i="20"/>
  <c r="H195" i="20"/>
  <c r="G194" i="20"/>
  <c r="Q47" i="20"/>
  <c r="H163" i="20"/>
  <c r="H97" i="20"/>
  <c r="H161" i="20"/>
  <c r="G28" i="20"/>
  <c r="H102" i="20"/>
  <c r="H50" i="20"/>
  <c r="H120" i="20"/>
  <c r="G176" i="20"/>
  <c r="H68" i="20"/>
  <c r="G81" i="20"/>
  <c r="G185" i="20"/>
  <c r="Q49" i="20"/>
  <c r="G122" i="20"/>
  <c r="H136" i="20"/>
  <c r="G135" i="20"/>
  <c r="G125" i="20"/>
  <c r="H58" i="20"/>
  <c r="H132" i="20"/>
  <c r="H77" i="20"/>
  <c r="G60" i="20"/>
  <c r="G75" i="20"/>
  <c r="G33" i="20"/>
  <c r="H192" i="20"/>
  <c r="G211" i="20"/>
  <c r="G148" i="20"/>
  <c r="H201" i="20"/>
  <c r="H159" i="20"/>
  <c r="H95" i="20"/>
  <c r="G45" i="20"/>
  <c r="H142" i="20"/>
  <c r="G98" i="20"/>
  <c r="H114" i="20"/>
  <c r="H216" i="20"/>
  <c r="G130" i="20"/>
  <c r="G227" i="20"/>
  <c r="G182" i="20"/>
  <c r="H179" i="20"/>
  <c r="G50" i="20"/>
  <c r="G54" i="20"/>
  <c r="H53" i="20"/>
  <c r="H100" i="20"/>
  <c r="H81" i="20"/>
  <c r="G189" i="20"/>
  <c r="G74" i="20"/>
  <c r="G47" i="20"/>
  <c r="G132" i="20"/>
  <c r="G69" i="20"/>
  <c r="H197" i="20"/>
  <c r="G90" i="20"/>
  <c r="G161" i="20"/>
  <c r="H96" i="20"/>
  <c r="H145" i="20"/>
  <c r="H70" i="20"/>
  <c r="G96" i="20"/>
  <c r="H47" i="20"/>
  <c r="G166" i="20"/>
  <c r="H84" i="20"/>
  <c r="G190" i="20"/>
  <c r="H118" i="20"/>
  <c r="G206" i="20"/>
  <c r="G43" i="20"/>
  <c r="G224" i="20"/>
  <c r="H181" i="20"/>
  <c r="G152" i="20"/>
  <c r="G17" i="20"/>
  <c r="G78" i="20"/>
  <c r="G70" i="20"/>
  <c r="H151" i="20"/>
  <c r="H110" i="20"/>
  <c r="H214" i="20"/>
  <c r="G178" i="20"/>
  <c r="G168" i="20"/>
  <c r="H55" i="20"/>
  <c r="H92" i="20"/>
  <c r="H166" i="20"/>
  <c r="G129" i="20"/>
  <c r="G25" i="20"/>
  <c r="G192" i="20"/>
  <c r="H74" i="20"/>
  <c r="G159" i="20"/>
  <c r="H65" i="20"/>
  <c r="H116" i="20"/>
  <c r="H224" i="20"/>
  <c r="H206" i="20"/>
  <c r="H72" i="20"/>
  <c r="H171" i="20"/>
  <c r="H208" i="20"/>
  <c r="H78" i="20"/>
  <c r="G35" i="20"/>
  <c r="G123" i="20"/>
  <c r="H134" i="20"/>
  <c r="H45" i="20"/>
  <c r="H175" i="20"/>
  <c r="G56" i="20"/>
  <c r="G133" i="20"/>
  <c r="G187" i="20"/>
  <c r="G111" i="20"/>
  <c r="H63" i="20"/>
  <c r="G226" i="20"/>
  <c r="G212" i="20"/>
  <c r="G16" i="20"/>
  <c r="H209" i="20"/>
  <c r="H82" i="20"/>
  <c r="H56" i="20"/>
  <c r="H173" i="20"/>
  <c r="G164" i="20"/>
  <c r="G31" i="20"/>
  <c r="H167" i="20"/>
  <c r="H31" i="20"/>
  <c r="H111" i="20"/>
  <c r="H188" i="20"/>
  <c r="G223" i="20"/>
  <c r="H153" i="20"/>
  <c r="H30" i="20"/>
  <c r="H211" i="20"/>
  <c r="G100" i="20"/>
  <c r="G86" i="20"/>
  <c r="H35" i="20"/>
  <c r="G149" i="20"/>
  <c r="G24" i="20"/>
  <c r="H23" i="20"/>
  <c r="G85" i="20"/>
  <c r="H139" i="20"/>
  <c r="H89" i="20"/>
  <c r="H150" i="20"/>
  <c r="H213" i="20"/>
  <c r="H149" i="20"/>
  <c r="Q50" i="20"/>
  <c r="H217" i="20"/>
  <c r="G158" i="20"/>
  <c r="G191" i="20"/>
  <c r="H43" i="20"/>
  <c r="G145" i="20"/>
  <c r="H125" i="20"/>
  <c r="G84" i="20"/>
  <c r="G40" i="20"/>
  <c r="H196" i="20"/>
  <c r="G139" i="20"/>
  <c r="H79" i="20"/>
  <c r="G214" i="20"/>
  <c r="G110" i="20"/>
  <c r="G113" i="20"/>
  <c r="H202" i="20"/>
  <c r="G73" i="20"/>
  <c r="H22" i="20"/>
  <c r="H141" i="20"/>
  <c r="G128" i="20"/>
  <c r="G151" i="20"/>
  <c r="H90" i="20"/>
  <c r="G220" i="20"/>
  <c r="H98" i="20"/>
  <c r="G105" i="20"/>
  <c r="G199" i="20"/>
  <c r="H122" i="20"/>
  <c r="G213" i="20"/>
  <c r="Q44" i="20"/>
  <c r="H37" i="20"/>
  <c r="H223" i="20"/>
  <c r="G97" i="20"/>
  <c r="G153" i="20"/>
  <c r="G127" i="20"/>
  <c r="H16" i="20"/>
  <c r="H15" i="20"/>
  <c r="H46" i="20"/>
  <c r="H135" i="20"/>
  <c r="G79" i="20"/>
  <c r="G64" i="20"/>
  <c r="G143" i="20"/>
  <c r="H227" i="20"/>
  <c r="G46" i="20"/>
  <c r="H59" i="20"/>
  <c r="G109" i="20"/>
  <c r="G167" i="20"/>
  <c r="H177" i="20"/>
  <c r="G147" i="20"/>
  <c r="G18" i="20"/>
  <c r="G30" i="20"/>
  <c r="H71" i="20"/>
  <c r="G76" i="20"/>
  <c r="H133" i="20"/>
  <c r="G66" i="20"/>
  <c r="G198" i="20"/>
  <c r="G222" i="20"/>
  <c r="G92" i="20"/>
  <c r="G91" i="20"/>
  <c r="H19" i="20"/>
  <c r="Q46" i="20"/>
  <c r="H164" i="20"/>
  <c r="H104" i="20"/>
  <c r="H99" i="20"/>
  <c r="H123" i="20"/>
  <c r="H222" i="20"/>
  <c r="H193" i="20"/>
  <c r="H191" i="20"/>
  <c r="H32" i="20"/>
  <c r="G172" i="20"/>
  <c r="H106" i="20"/>
  <c r="G95" i="20"/>
  <c r="H91" i="20"/>
  <c r="G51" i="20"/>
  <c r="H61" i="20"/>
  <c r="G82" i="20"/>
  <c r="H80" i="20"/>
  <c r="G27" i="20"/>
  <c r="H119" i="20"/>
  <c r="H113" i="20"/>
  <c r="H219" i="20"/>
  <c r="G39" i="20"/>
  <c r="H86" i="20"/>
  <c r="H147" i="20"/>
  <c r="H36" i="20"/>
  <c r="G162" i="20"/>
  <c r="G55" i="20"/>
  <c r="H199" i="20"/>
  <c r="G99" i="20"/>
  <c r="H109" i="20"/>
  <c r="G58" i="20"/>
  <c r="H158" i="20"/>
  <c r="G217" i="20"/>
  <c r="G15" i="20"/>
  <c r="H69" i="20"/>
  <c r="H162" i="20"/>
  <c r="G175" i="20"/>
  <c r="Q51" i="20"/>
  <c r="H154" i="20"/>
  <c r="H48" i="20"/>
  <c r="G134" i="20"/>
  <c r="H29" i="20"/>
  <c r="H126" i="20"/>
  <c r="H183" i="20"/>
  <c r="G80" i="20"/>
  <c r="Q45" i="20"/>
  <c r="G53" i="20"/>
  <c r="H176" i="20"/>
  <c r="H131" i="20"/>
  <c r="H75" i="20"/>
  <c r="H39" i="20"/>
  <c r="H198" i="20"/>
  <c r="G36" i="20"/>
  <c r="H215" i="20"/>
  <c r="G21" i="20"/>
  <c r="G157" i="20"/>
  <c r="H124" i="20"/>
  <c r="G88" i="20"/>
  <c r="G67" i="20"/>
  <c r="G155" i="20"/>
  <c r="G115" i="20"/>
  <c r="H137" i="20"/>
  <c r="G225" i="20"/>
  <c r="H17" i="20"/>
  <c r="G171" i="20"/>
  <c r="H185" i="20"/>
  <c r="G181" i="20"/>
  <c r="G156" i="20"/>
  <c r="H27" i="20"/>
  <c r="H28" i="20"/>
  <c r="H41" i="20"/>
  <c r="G68" i="20"/>
  <c r="G104" i="20"/>
  <c r="H138" i="20"/>
  <c r="Q42" i="20"/>
  <c r="H44" i="20"/>
  <c r="H60" i="20"/>
  <c r="G52" i="20"/>
  <c r="G22" i="20"/>
  <c r="G101" i="20"/>
  <c r="G44" i="20"/>
  <c r="H83" i="20"/>
  <c r="H76" i="20"/>
  <c r="H117" i="20"/>
  <c r="H207" i="20"/>
  <c r="H21" i="20"/>
  <c r="H33" i="20"/>
  <c r="Q43" i="20"/>
  <c r="H57" i="20"/>
  <c r="G200" i="20"/>
  <c r="G117" i="20"/>
  <c r="H101" i="20"/>
  <c r="H52" i="20"/>
  <c r="G131" i="20"/>
  <c r="G102" i="20"/>
  <c r="H66" i="20"/>
  <c r="G62" i="20"/>
  <c r="H205" i="20"/>
  <c r="H187" i="20"/>
  <c r="G71" i="20"/>
  <c r="G219" i="20"/>
  <c r="H67" i="20"/>
  <c r="H160" i="20"/>
  <c r="G202" i="20"/>
  <c r="H128" i="20"/>
  <c r="G107" i="20"/>
  <c r="H105" i="20"/>
  <c r="H226" i="20"/>
  <c r="G49" i="20"/>
  <c r="G146" i="20"/>
  <c r="H189" i="20"/>
  <c r="H64" i="20"/>
  <c r="H38" i="20"/>
  <c r="H62" i="20"/>
  <c r="H168" i="20"/>
  <c r="G106" i="20"/>
  <c r="H42" i="20"/>
  <c r="G215" i="20"/>
  <c r="H174" i="20"/>
  <c r="G38" i="20"/>
  <c r="H204" i="20"/>
  <c r="H40" i="20"/>
  <c r="G83" i="20"/>
  <c r="G205" i="20"/>
  <c r="G119" i="20"/>
  <c r="G114" i="20"/>
  <c r="H212" i="20"/>
  <c r="G196" i="20"/>
  <c r="H144" i="20"/>
  <c r="G179" i="20"/>
  <c r="G150" i="20"/>
  <c r="G180" i="20"/>
  <c r="H178" i="20"/>
  <c r="G204" i="20"/>
  <c r="G210" i="20"/>
  <c r="G65" i="20"/>
  <c r="H148" i="20"/>
  <c r="G77" i="20"/>
  <c r="H108" i="20"/>
  <c r="G142" i="20"/>
  <c r="H49" i="20"/>
  <c r="H190" i="20"/>
  <c r="G137" i="20"/>
  <c r="H34" i="20"/>
  <c r="H51" i="20"/>
  <c r="H194" i="20"/>
  <c r="H115" i="20"/>
  <c r="G201" i="20"/>
  <c r="H218" i="20"/>
  <c r="G32" i="20"/>
  <c r="G140" i="20"/>
  <c r="H165" i="20"/>
  <c r="H112" i="20"/>
  <c r="G160" i="20"/>
  <c r="G154" i="20"/>
  <c r="G183" i="20"/>
  <c r="H182" i="20"/>
  <c r="H152" i="20"/>
  <c r="G19" i="20"/>
  <c r="G124" i="20"/>
  <c r="H85" i="20"/>
  <c r="G173" i="20"/>
  <c r="G116" i="20"/>
  <c r="H24" i="20"/>
  <c r="G48" i="20"/>
  <c r="H121" i="20"/>
  <c r="H210" i="20"/>
  <c r="G170" i="20"/>
  <c r="H170" i="20"/>
  <c r="H140" i="20"/>
  <c r="G59" i="20"/>
  <c r="G20" i="20"/>
  <c r="G61" i="20"/>
  <c r="G186" i="20"/>
  <c r="G208" i="20"/>
  <c r="Q22" i="18" l="1"/>
  <c r="Q20" i="18"/>
  <c r="Q15" i="18"/>
  <c r="Q28" i="18"/>
  <c r="Q27" i="18"/>
  <c r="Q16" i="18"/>
  <c r="Q25" i="18"/>
  <c r="Q18" i="18"/>
  <c r="Q17" i="18"/>
  <c r="Q19" i="18"/>
  <c r="Q29" i="18"/>
  <c r="L13" i="18"/>
  <c r="M13" i="18"/>
  <c r="N13" i="18"/>
  <c r="O13" i="18"/>
  <c r="K13" i="18"/>
  <c r="I29" i="18"/>
  <c r="I27" i="18"/>
  <c r="I22" i="18"/>
  <c r="I16" i="18"/>
  <c r="I17" i="18"/>
  <c r="I18" i="18"/>
  <c r="I15" i="18"/>
  <c r="I28" i="18"/>
  <c r="I19" i="18"/>
  <c r="I20" i="18"/>
  <c r="I25" i="18"/>
  <c r="I26" i="18"/>
  <c r="I21" i="18"/>
  <c r="I24" i="18"/>
  <c r="I23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91" i="20"/>
  <c r="I22" i="20"/>
  <c r="I85" i="20"/>
  <c r="I44" i="20"/>
  <c r="I42" i="20"/>
  <c r="I32" i="20"/>
  <c r="I40" i="20"/>
  <c r="I200" i="20"/>
  <c r="Q41" i="20"/>
  <c r="I187" i="20"/>
  <c r="I155" i="20"/>
  <c r="I25" i="20"/>
  <c r="I26" i="20"/>
  <c r="I177" i="20"/>
  <c r="Q40" i="20"/>
  <c r="I197" i="20"/>
  <c r="I113" i="20"/>
  <c r="Q33" i="20"/>
  <c r="I135" i="20"/>
  <c r="Q17" i="20"/>
  <c r="Q32" i="20"/>
  <c r="I193" i="20"/>
  <c r="Q37" i="20"/>
  <c r="I112" i="20"/>
  <c r="I53" i="20"/>
  <c r="I186" i="20"/>
  <c r="I207" i="20"/>
  <c r="I84" i="20"/>
  <c r="I41" i="20"/>
  <c r="I172" i="20"/>
  <c r="I143" i="20"/>
  <c r="I180" i="20"/>
  <c r="Q16" i="20"/>
  <c r="I23" i="20"/>
  <c r="I39" i="20"/>
  <c r="I223" i="20"/>
  <c r="I66" i="20"/>
  <c r="I83" i="20"/>
  <c r="I98" i="20"/>
  <c r="I190" i="20"/>
  <c r="I67" i="20"/>
  <c r="I87" i="20"/>
  <c r="I124" i="20"/>
  <c r="I137" i="20"/>
  <c r="I160" i="20"/>
  <c r="I142" i="20"/>
  <c r="Q15" i="20"/>
  <c r="I48" i="20"/>
  <c r="Q18" i="20"/>
  <c r="I218" i="20"/>
  <c r="I20" i="20"/>
  <c r="I37" i="20"/>
  <c r="I56" i="20"/>
  <c r="I36" i="20"/>
  <c r="I18" i="20"/>
  <c r="Q27" i="20"/>
  <c r="I30" i="20"/>
  <c r="I33" i="20"/>
  <c r="I208" i="20"/>
  <c r="I63" i="20"/>
  <c r="I97" i="20"/>
  <c r="I24" i="20"/>
  <c r="I146" i="20"/>
  <c r="I59" i="20"/>
  <c r="Q19" i="20"/>
  <c r="I205" i="20"/>
  <c r="I102" i="20"/>
  <c r="I129" i="20"/>
  <c r="I216" i="20"/>
  <c r="I69" i="20"/>
  <c r="I51" i="20"/>
  <c r="I192" i="20"/>
  <c r="I173" i="20"/>
  <c r="I153" i="20"/>
  <c r="I28" i="20"/>
  <c r="I214" i="20"/>
  <c r="I50" i="20"/>
  <c r="I219" i="20"/>
  <c r="I163" i="20"/>
  <c r="I31" i="20"/>
  <c r="I47" i="20"/>
  <c r="I138" i="20"/>
  <c r="Q20" i="20"/>
  <c r="Q23" i="20"/>
  <c r="I225" i="20"/>
  <c r="I110" i="20"/>
  <c r="I132" i="20"/>
  <c r="I220" i="20"/>
  <c r="I213" i="20"/>
  <c r="I103" i="20"/>
  <c r="I162" i="20"/>
  <c r="I171" i="20"/>
  <c r="I185" i="20"/>
  <c r="I115" i="20"/>
  <c r="I114" i="20"/>
  <c r="I154" i="20"/>
  <c r="Q25" i="20"/>
  <c r="I133" i="20"/>
  <c r="I60" i="20"/>
  <c r="Q34" i="20"/>
  <c r="I81" i="20"/>
  <c r="I117" i="20"/>
  <c r="I211" i="20"/>
  <c r="I152" i="20"/>
  <c r="I106" i="20"/>
  <c r="I178" i="20"/>
  <c r="I21" i="20"/>
  <c r="I175" i="20"/>
  <c r="I181" i="20"/>
  <c r="I215" i="20"/>
  <c r="I35" i="20"/>
  <c r="I55" i="20"/>
  <c r="I148" i="20"/>
  <c r="I217" i="20"/>
  <c r="I130" i="20"/>
  <c r="I198" i="20"/>
  <c r="I108" i="20"/>
  <c r="Q21" i="20"/>
  <c r="I94" i="20"/>
  <c r="I121" i="20"/>
  <c r="I226" i="20"/>
  <c r="I147" i="20"/>
  <c r="I15" i="20"/>
  <c r="I140" i="20"/>
  <c r="I123" i="20"/>
  <c r="I75" i="20"/>
  <c r="I64" i="20"/>
  <c r="I131" i="20"/>
  <c r="I206" i="20"/>
  <c r="I77" i="20"/>
  <c r="I227" i="20"/>
  <c r="I145" i="20"/>
  <c r="I141" i="20"/>
  <c r="I52" i="20"/>
  <c r="I188" i="20"/>
  <c r="I82" i="20"/>
  <c r="I204" i="20"/>
  <c r="I202" i="20"/>
  <c r="I54" i="20"/>
  <c r="I76" i="20"/>
  <c r="I157" i="20"/>
  <c r="Q39" i="20"/>
  <c r="I105" i="20"/>
  <c r="I159" i="20"/>
  <c r="I136" i="20"/>
  <c r="I68" i="20"/>
  <c r="I99" i="20"/>
  <c r="I203" i="20"/>
  <c r="I210" i="20"/>
  <c r="I89" i="20"/>
  <c r="I93" i="20"/>
  <c r="I149" i="20"/>
  <c r="I38" i="20"/>
  <c r="I170" i="20"/>
  <c r="I151" i="20"/>
  <c r="I74" i="20"/>
  <c r="I196" i="20"/>
  <c r="I212" i="20"/>
  <c r="Q30" i="20"/>
  <c r="I118" i="20"/>
  <c r="I150" i="20"/>
  <c r="I120" i="20"/>
  <c r="I165" i="20"/>
  <c r="I116" i="20"/>
  <c r="Q29" i="20"/>
  <c r="I167" i="20"/>
  <c r="I101" i="20"/>
  <c r="I128" i="20"/>
  <c r="I122" i="20"/>
  <c r="I17" i="20"/>
  <c r="Q31" i="20"/>
  <c r="I71" i="20"/>
  <c r="I72" i="20"/>
  <c r="Q36" i="20"/>
  <c r="I189" i="20"/>
  <c r="I70" i="20"/>
  <c r="I96" i="20"/>
  <c r="Q24" i="20"/>
  <c r="I49" i="20"/>
  <c r="I169" i="20"/>
  <c r="I111" i="20"/>
  <c r="I139" i="20"/>
  <c r="I199" i="20"/>
  <c r="I90" i="20"/>
  <c r="I134" i="20"/>
  <c r="I179" i="20"/>
  <c r="I100" i="20"/>
  <c r="I161" i="20"/>
  <c r="I182" i="20"/>
  <c r="I92" i="20"/>
  <c r="I119" i="20"/>
  <c r="I65" i="20"/>
  <c r="I86" i="20"/>
  <c r="I19" i="20"/>
  <c r="I164" i="20"/>
  <c r="I73" i="20"/>
  <c r="I194" i="20"/>
  <c r="I191" i="20"/>
  <c r="I80" i="20"/>
  <c r="I144" i="20"/>
  <c r="I46" i="20"/>
  <c r="I201" i="20"/>
  <c r="I224" i="20"/>
  <c r="I184" i="20"/>
  <c r="I168" i="20"/>
  <c r="Q22" i="20"/>
  <c r="I176" i="20"/>
  <c r="I107" i="20"/>
  <c r="I156" i="20"/>
  <c r="I62" i="20"/>
  <c r="I125" i="20"/>
  <c r="I57" i="20"/>
  <c r="I158" i="20"/>
  <c r="I166" i="20"/>
  <c r="Q38" i="20"/>
  <c r="I29" i="20"/>
  <c r="I126" i="20"/>
  <c r="I78" i="20"/>
  <c r="I104" i="20"/>
  <c r="I88" i="20"/>
  <c r="I222" i="20"/>
  <c r="I16" i="20"/>
  <c r="I79" i="20"/>
  <c r="I221" i="20"/>
  <c r="I109" i="20"/>
  <c r="Q26" i="20"/>
  <c r="I58" i="20"/>
  <c r="I43" i="20"/>
  <c r="Q28" i="20"/>
  <c r="I34" i="20"/>
  <c r="I27" i="20"/>
  <c r="I61" i="20"/>
  <c r="I45" i="20"/>
  <c r="I174" i="20"/>
  <c r="I183" i="20"/>
  <c r="Q35" i="20"/>
  <c r="I209" i="20"/>
  <c r="I95" i="20"/>
  <c r="I127" i="20"/>
  <c r="I195" i="20"/>
  <c r="Q2" i="20" l="1" a="1"/>
  <c r="Q2" i="20" s="1"/>
  <c r="Q3" i="20" s="1" a="1"/>
  <c r="Q3" i="20" s="1"/>
  <c r="R3" i="20" s="1"/>
  <c r="Q2" i="18" a="1"/>
  <c r="Q2" i="18" s="1"/>
  <c r="Q3" i="18" s="1" a="1"/>
  <c r="Q3" i="18" s="1"/>
  <c r="R2" i="20" l="1"/>
  <c r="S2" i="20"/>
  <c r="S3" i="20"/>
  <c r="Q4" i="20" a="1"/>
  <c r="Q4" i="20" s="1"/>
  <c r="S4" i="20" s="1"/>
  <c r="S2" i="18"/>
  <c r="Q4" i="18" a="1"/>
  <c r="Q4" i="18" s="1"/>
  <c r="Q5" i="18" s="1" a="1"/>
  <c r="Q5" i="18" s="1"/>
  <c r="Q6" i="18" s="1" a="1"/>
  <c r="Q6" i="18" s="1"/>
  <c r="R6" i="18" s="1"/>
  <c r="R3" i="18"/>
  <c r="R2" i="18"/>
  <c r="S3" i="18"/>
  <c r="Q5" i="20" l="1" a="1"/>
  <c r="Q5" i="20" s="1"/>
  <c r="Q6" i="20" s="1" a="1"/>
  <c r="Q6" i="20" s="1"/>
  <c r="S6" i="20" s="1"/>
  <c r="R4" i="20"/>
  <c r="R4" i="18"/>
  <c r="S4" i="18"/>
  <c r="S5" i="18"/>
  <c r="S6" i="18"/>
  <c r="R5" i="18"/>
  <c r="Q7" i="18" a="1"/>
  <c r="Q7" i="18" s="1"/>
  <c r="Q7" i="20" l="1" a="1"/>
  <c r="Q7" i="20" s="1"/>
  <c r="R7" i="20" s="1"/>
  <c r="R6" i="20"/>
  <c r="R5" i="20"/>
  <c r="S5" i="20"/>
  <c r="R7" i="18"/>
  <c r="S7" i="18"/>
  <c r="S7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8091383F-5497-4542-9242-962B7F760A7C}">
      <text>
        <r>
          <rPr>
            <b/>
            <sz val="20"/>
            <color indexed="81"/>
            <rFont val="맑은 고딕"/>
            <family val="3"/>
            <charset val="129"/>
          </rPr>
          <t>단부재 및 강판 타입은 강재 기입!
슬래브리스트 붙여넣기 후 반드시 임의 수정바람(제작의뢰서 상부 정보를 수식 활용)</t>
        </r>
      </text>
    </comment>
    <comment ref="K1" authorId="0" shapeId="0" xr:uid="{FE459407-6054-44D8-BAEA-4CE51BC33809}">
      <text>
        <r>
          <rPr>
            <b/>
            <sz val="12"/>
            <color indexed="81"/>
            <rFont val="맑은 고딕"/>
            <family val="3"/>
            <charset val="129"/>
          </rPr>
          <t>강판선택 必</t>
        </r>
      </text>
    </comment>
  </commentList>
</comments>
</file>

<file path=xl/sharedStrings.xml><?xml version="1.0" encoding="utf-8"?>
<sst xmlns="http://schemas.openxmlformats.org/spreadsheetml/2006/main" count="241" uniqueCount="115">
  <si>
    <t>총면적</t>
    <phoneticPr fontId="2" type="noConversion"/>
  </si>
  <si>
    <t>구간</t>
    <phoneticPr fontId="2" type="noConversion"/>
  </si>
  <si>
    <t>TYPE</t>
    <phoneticPr fontId="45" type="noConversion"/>
  </si>
  <si>
    <t>TG1</t>
    <phoneticPr fontId="2" type="noConversion"/>
  </si>
  <si>
    <t>TG2</t>
    <phoneticPr fontId="2" type="noConversion"/>
  </si>
  <si>
    <t>TG-2</t>
    <phoneticPr fontId="2" type="noConversion"/>
  </si>
  <si>
    <t>단열재</t>
    <phoneticPr fontId="2" type="noConversion"/>
  </si>
  <si>
    <t>면적</t>
    <phoneticPr fontId="2" type="noConversion"/>
  </si>
  <si>
    <t>하부피복</t>
    <phoneticPr fontId="2" type="noConversion"/>
  </si>
  <si>
    <t>종류</t>
    <phoneticPr fontId="2" type="noConversion"/>
  </si>
  <si>
    <t>두께</t>
    <phoneticPr fontId="2" type="noConversion"/>
  </si>
  <si>
    <t>SLAB NAME</t>
  </si>
  <si>
    <t>TYPE</t>
  </si>
  <si>
    <t>THK.</t>
  </si>
  <si>
    <t>래티스</t>
  </si>
  <si>
    <t>캠버</t>
  </si>
  <si>
    <t>TG</t>
  </si>
  <si>
    <t>상부피복</t>
    <phoneticPr fontId="2" type="noConversion"/>
  </si>
  <si>
    <t>서포트</t>
    <phoneticPr fontId="2" type="noConversion"/>
  </si>
  <si>
    <t>TG3</t>
    <phoneticPr fontId="2" type="noConversion"/>
  </si>
  <si>
    <t>TG-10</t>
  </si>
  <si>
    <t>강판타입</t>
    <phoneticPr fontId="2" type="noConversion"/>
  </si>
  <si>
    <t>MVS</t>
  </si>
  <si>
    <t>단부재</t>
    <phoneticPr fontId="2" type="noConversion"/>
  </si>
  <si>
    <t>요청코드</t>
    <phoneticPr fontId="2" type="noConversion"/>
  </si>
  <si>
    <t>현장명</t>
    <phoneticPr fontId="2" type="noConversion"/>
  </si>
  <si>
    <t>업체명</t>
    <phoneticPr fontId="2" type="noConversion"/>
  </si>
  <si>
    <t>하부받침대</t>
    <phoneticPr fontId="2" type="noConversion"/>
  </si>
  <si>
    <t>입고예정일</t>
    <phoneticPr fontId="2" type="noConversion"/>
  </si>
  <si>
    <t>A</t>
    <phoneticPr fontId="2" type="noConversion"/>
  </si>
  <si>
    <t>B</t>
    <phoneticPr fontId="2" type="noConversion"/>
  </si>
  <si>
    <t>타입</t>
    <phoneticPr fontId="45" type="noConversion"/>
  </si>
  <si>
    <t>강판</t>
    <phoneticPr fontId="2" type="noConversion"/>
  </si>
  <si>
    <t>높이</t>
    <phoneticPr fontId="2" type="noConversion"/>
  </si>
  <si>
    <t>CODE</t>
    <phoneticPr fontId="2" type="noConversion"/>
  </si>
  <si>
    <t>CODE</t>
    <phoneticPr fontId="87" type="noConversion"/>
  </si>
  <si>
    <t>면적</t>
    <phoneticPr fontId="87" type="noConversion"/>
  </si>
  <si>
    <t>수량</t>
    <phoneticPr fontId="87" type="noConversion"/>
  </si>
  <si>
    <t>요청코드</t>
    <phoneticPr fontId="87" type="noConversion"/>
  </si>
  <si>
    <t>합계</t>
    <phoneticPr fontId="2" type="noConversion"/>
  </si>
  <si>
    <t>총수량</t>
    <phoneticPr fontId="2" type="noConversion"/>
  </si>
  <si>
    <t>MEGA</t>
    <phoneticPr fontId="2" type="noConversion"/>
  </si>
  <si>
    <t>GIGA</t>
    <phoneticPr fontId="2" type="noConversion"/>
  </si>
  <si>
    <t>C</t>
    <phoneticPr fontId="2" type="noConversion"/>
  </si>
  <si>
    <t>D</t>
    <phoneticPr fontId="2" type="noConversion"/>
  </si>
  <si>
    <t>TG-20</t>
    <phoneticPr fontId="2" type="noConversion"/>
  </si>
  <si>
    <t>TG-40</t>
    <phoneticPr fontId="2" type="noConversion"/>
  </si>
  <si>
    <t>TG-60</t>
    <phoneticPr fontId="2" type="noConversion"/>
  </si>
  <si>
    <t>TG</t>
    <phoneticPr fontId="2" type="noConversion"/>
  </si>
  <si>
    <t>도면NO</t>
    <phoneticPr fontId="2" type="noConversion"/>
  </si>
  <si>
    <t>SLAB
NAME</t>
    <phoneticPr fontId="2" type="noConversion"/>
  </si>
  <si>
    <t>단부재 유무</t>
    <phoneticPr fontId="2" type="noConversion"/>
  </si>
  <si>
    <t>포장유무</t>
    <phoneticPr fontId="2" type="noConversion"/>
  </si>
  <si>
    <t>추가 특이사항 또는 요청사항 기입란</t>
    <phoneticPr fontId="2" type="noConversion"/>
  </si>
  <si>
    <t>길이</t>
    <phoneticPr fontId="2" type="noConversion"/>
  </si>
  <si>
    <t>캠버</t>
    <phoneticPr fontId="2" type="noConversion"/>
  </si>
  <si>
    <t>데크타입</t>
    <phoneticPr fontId="2" type="noConversion"/>
  </si>
  <si>
    <t>MVR</t>
    <phoneticPr fontId="2" type="noConversion"/>
  </si>
  <si>
    <t>GVR</t>
    <phoneticPr fontId="2" type="noConversion"/>
  </si>
  <si>
    <t>일체형 RC</t>
  </si>
  <si>
    <t>GVS</t>
    <phoneticPr fontId="2" type="noConversion"/>
  </si>
  <si>
    <t>일체형 S</t>
  </si>
  <si>
    <t>MVC</t>
  </si>
  <si>
    <t>GVC</t>
    <phoneticPr fontId="2" type="noConversion"/>
  </si>
  <si>
    <t>일체형 RC+S</t>
  </si>
  <si>
    <t>MVF</t>
  </si>
  <si>
    <t>GVF</t>
    <phoneticPr fontId="2" type="noConversion"/>
  </si>
  <si>
    <t>일체형 세이프</t>
  </si>
  <si>
    <t>MVFR</t>
  </si>
  <si>
    <t>GVFR</t>
    <phoneticPr fontId="2" type="noConversion"/>
  </si>
  <si>
    <t>일체형 세이프 &amp; RC</t>
  </si>
  <si>
    <t>MVFS</t>
  </si>
  <si>
    <t>GVFS</t>
    <phoneticPr fontId="2" type="noConversion"/>
  </si>
  <si>
    <t>일체형 세이프 &amp; S</t>
  </si>
  <si>
    <t>담당자</t>
    <phoneticPr fontId="2" type="noConversion"/>
  </si>
  <si>
    <t>생산 RECHECK</t>
    <phoneticPr fontId="2" type="noConversion"/>
  </si>
  <si>
    <t>결 재</t>
    <phoneticPr fontId="87" type="noConversion"/>
  </si>
  <si>
    <t>담당</t>
    <phoneticPr fontId="87" type="noConversion"/>
  </si>
  <si>
    <t>검토</t>
    <phoneticPr fontId="87" type="noConversion"/>
  </si>
  <si>
    <t>팀장</t>
    <phoneticPr fontId="87" type="noConversion"/>
  </si>
  <si>
    <t>타입체크
(높이,선경)</t>
    <phoneticPr fontId="2" type="noConversion"/>
  </si>
  <si>
    <t>길이체크</t>
    <phoneticPr fontId="2" type="noConversion"/>
  </si>
  <si>
    <t>설계팀장</t>
    <phoneticPr fontId="2" type="noConversion"/>
  </si>
  <si>
    <t>수량체크</t>
    <phoneticPr fontId="2" type="noConversion"/>
  </si>
  <si>
    <t>대우건설</t>
  </si>
  <si>
    <t>식사푸르지오 파크센트</t>
  </si>
  <si>
    <t>권혜유 사원</t>
  </si>
  <si>
    <t>슬리퍼</t>
  </si>
  <si>
    <t>O</t>
  </si>
  <si>
    <t>DS1</t>
  </si>
  <si>
    <t>M10085</t>
  </si>
  <si>
    <t>Ø5</t>
  </si>
  <si>
    <t>-</t>
  </si>
  <si>
    <t>DS2</t>
  </si>
  <si>
    <t>M13105</t>
  </si>
  <si>
    <t>DS3</t>
  </si>
  <si>
    <t>M13135</t>
  </si>
  <si>
    <t>DS3S</t>
  </si>
  <si>
    <t>사용</t>
  </si>
  <si>
    <t>RDS1</t>
  </si>
  <si>
    <t>M13106</t>
  </si>
  <si>
    <t>Ø6</t>
  </si>
  <si>
    <t>RDS2</t>
  </si>
  <si>
    <t>RDS3</t>
  </si>
  <si>
    <t>A</t>
  </si>
  <si>
    <t>B-1</t>
    <phoneticPr fontId="2" type="noConversion"/>
  </si>
  <si>
    <t>B-2</t>
    <phoneticPr fontId="2" type="noConversion"/>
  </si>
  <si>
    <t>B-3</t>
    <phoneticPr fontId="2" type="noConversion"/>
  </si>
  <si>
    <t>B-4</t>
    <phoneticPr fontId="2" type="noConversion"/>
  </si>
  <si>
    <t>B-5</t>
    <phoneticPr fontId="2" type="noConversion"/>
  </si>
  <si>
    <t>B-6</t>
    <phoneticPr fontId="2" type="noConversion"/>
  </si>
  <si>
    <t>B-7</t>
    <phoneticPr fontId="2" type="noConversion"/>
  </si>
  <si>
    <t>B-8</t>
    <phoneticPr fontId="2" type="noConversion"/>
  </si>
  <si>
    <t>B-9</t>
    <phoneticPr fontId="2" type="noConversion"/>
  </si>
  <si>
    <t>0309-13~15-GHY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</si>
</sst>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0">
    <numFmt numFmtId="41" formatCode="_-* #,##0_-;\-* #,##0_-;_-* &quot;-&quot;_-;_-@_-"/>
    <numFmt numFmtId="43" formatCode="_-* #,##0.00_-;\-* #,##0.00_-;_-* &quot;-&quot;??_-;_-@_-"/>
    <numFmt numFmtId="176" formatCode="#,##0.000_);[Red]\(#,##0.000\)"/>
    <numFmt numFmtId="177" formatCode="#,##0_);[Red]\(#,##0\)"/>
    <numFmt numFmtId="178" formatCode="[Red]\+#;[Red]\-#;[Red]0"/>
    <numFmt numFmtId="179" formatCode="#,##0;[Red]&quot;△&quot;#,##0"/>
    <numFmt numFmtId="180" formatCode="#,##0_ ;[Red]&quot;△&quot;#,##0\ "/>
    <numFmt numFmtId="181" formatCode="_ * #,##0_ ;_ * \-#,##0_ ;_ * &quot;-&quot;_ ;_ @_ "/>
    <numFmt numFmtId="182" formatCode="#,##0.0;[Red]#,##0.0;&quot; &quot;"/>
    <numFmt numFmtId="183" formatCode="0.0000%"/>
    <numFmt numFmtId="184" formatCode="0.0%;[Red]\(0.0%\)"/>
    <numFmt numFmtId="185" formatCode="&quot;$&quot;#,##0.00_);\(&quot;$&quot;#,##0.00\)"/>
    <numFmt numFmtId="186" formatCode="#,##0&quot; 원&quot;"/>
    <numFmt numFmtId="187" formatCode="yyyy&quot;年&quot;m&quot;月&quot;d&quot;日&quot;"/>
    <numFmt numFmtId="188" formatCode="_ &quot;₩&quot;* #,##0_ ;_ &quot;₩&quot;* \-#,##0_ ;_ &quot;₩&quot;* &quot;-&quot;_ ;_ @_ "/>
    <numFmt numFmtId="189" formatCode="_(&quot;$&quot;* #,##0_);_(&quot;$&quot;* \(#,##0\);_(&quot;$&quot;* &quot;-&quot;_);_(@_)"/>
    <numFmt numFmtId="190" formatCode="&quot;$&quot;#,##0_);[Red]\(&quot;$&quot;#,##0\)"/>
    <numFmt numFmtId="191" formatCode="_ &quot;₩&quot;* #,##0.00_ ;_ &quot;₩&quot;* \-#,##0.00_ ;_ &quot;₩&quot;* &quot;-&quot;??_ ;_ @_ "/>
    <numFmt numFmtId="192" formatCode="_(&quot;$&quot;* #,##0.00_);_(&quot;$&quot;* \(#,##0.00\);_(&quot;$&quot;* &quot;-&quot;??_);_(@_)"/>
    <numFmt numFmtId="193" formatCode="&quot;$&quot;#,##0.00_);[Red]\(&quot;$&quot;#,##0.00\)"/>
    <numFmt numFmtId="194" formatCode="_ * #,##0.00_ ;_ * \-#,##0.00_ ;_ * &quot;-&quot;??_ ;_ @_ "/>
    <numFmt numFmtId="195" formatCode="#,##0;\-#,##0;&quot;-&quot;"/>
    <numFmt numFmtId="196" formatCode="\$&quot;_x000c_ _x0001_-)_x0008__x0004__x0000__x0000__x0005__x0002_&quot;;[Red]\(\$#,##0\)"/>
    <numFmt numFmtId="197" formatCode="#,##0.0000000;[Red]&quot;-&quot;#,##0.0000000"/>
    <numFmt numFmtId="198" formatCode="_-* #,##0.0_-;\-* #,##0.0_-;_-* &quot;-&quot;??_-;_-@_-"/>
    <numFmt numFmtId="199" formatCode="#,##0.0;[Red]\(#,##0.0\)"/>
    <numFmt numFmtId="200" formatCode="#,##0.0\ ;\(#,##0.0\);&quot;-&quot;\ "/>
    <numFmt numFmtId="201" formatCode="#,##0.0_%\);[Red]\(#,##0.0%\)"/>
    <numFmt numFmtId="202" formatCode="#,##0;[Red]\(#,##0\)"/>
    <numFmt numFmtId="203" formatCode="_-* #,##0_-;\-* #,##0_-;_-* &quot;-&quot;??_-;_-@_-"/>
    <numFmt numFmtId="204" formatCode="[Red]#,##0"/>
    <numFmt numFmtId="205" formatCode="_ &quot;₩&quot;* #,##0.00_ ;_ &quot;₩&quot;* &quot;₩&quot;&quot;₩&quot;&quot;₩&quot;&quot;₩&quot;\-#,##0.00_ ;_ &quot;₩&quot;* &quot;-&quot;??_ ;_ @_ "/>
    <numFmt numFmtId="206" formatCode="&quot;$&quot;#\!\,##0\!.00_);&quot;₩&quot;\!\(&quot;$&quot;#\!\,##0\!.00&quot;₩&quot;\!\)"/>
    <numFmt numFmtId="207" formatCode="&quot;₩&quot;#,##0.00\ ;\(&quot;₩&quot;#,##0.00\)"/>
    <numFmt numFmtId="208" formatCode="&quot;₩&quot;#,##0;&quot;₩&quot;\-#,##0"/>
    <numFmt numFmtId="209" formatCode="\$&quot;_x000c__x0009__x0001_-)_x0008__x0004__x0000__x0000__x0005__x0002_&quot;;[Red]\(\$#,##0\)"/>
    <numFmt numFmtId="210" formatCode="yyyy/mm/dd\ \(aaa\)"/>
    <numFmt numFmtId="211" formatCode="#,##0;\-\ #,##0;"/>
    <numFmt numFmtId="212" formatCode="#,##0_);\(#,##0\)"/>
    <numFmt numFmtId="213" formatCode="_-* #,##0.000_-;\-* #,##0.000_-;_-* &quot;-&quot;_-;_-@_-"/>
  </numFmts>
  <fonts count="97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sz val="12"/>
      <name val="돋움체"/>
      <family val="3"/>
      <charset val="129"/>
    </font>
    <font>
      <sz val="10"/>
      <name val="돋움체"/>
      <family val="3"/>
      <charset val="129"/>
    </font>
    <font>
      <sz val="12"/>
      <name val="굴림체"/>
      <family val="3"/>
      <charset val="129"/>
    </font>
    <font>
      <i/>
      <sz val="12"/>
      <name val="굴림체"/>
      <family val="3"/>
      <charset val="129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10"/>
      <name val="굴림체"/>
      <family val="3"/>
      <charset val="129"/>
    </font>
    <font>
      <sz val="10"/>
      <name val="MS Sans Serif"/>
      <family val="2"/>
    </font>
    <font>
      <sz val="11"/>
      <name val="￥i￠￢￠?o"/>
      <family val="3"/>
      <charset val="129"/>
    </font>
    <font>
      <sz val="9"/>
      <name val="돋움체"/>
      <family val="3"/>
      <charset val="129"/>
    </font>
    <font>
      <sz val="12"/>
      <name val="돋움"/>
      <family val="3"/>
      <charset val="129"/>
    </font>
    <font>
      <sz val="12"/>
      <name val="Arial"/>
      <family val="2"/>
    </font>
    <font>
      <sz val="11"/>
      <name val="μ¸¿o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sz val="12"/>
      <name val="¹UAAA¼"/>
      <family val="3"/>
      <charset val="129"/>
    </font>
    <font>
      <sz val="9"/>
      <name val="Arial"/>
      <family val="2"/>
    </font>
    <font>
      <sz val="8"/>
      <name val="¹UAAA¼"/>
      <family val="3"/>
      <charset val="129"/>
    </font>
    <font>
      <sz val="10"/>
      <color indexed="8"/>
      <name val="Arial"/>
      <family val="2"/>
    </font>
    <font>
      <b/>
      <sz val="10"/>
      <name val="Helv"/>
      <family val="2"/>
    </font>
    <font>
      <sz val="1"/>
      <color indexed="8"/>
      <name val="Courier"/>
      <family val="3"/>
    </font>
    <font>
      <sz val="10"/>
      <name val="MS Serif"/>
      <family val="1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2"/>
      <name val="뼻뮝"/>
      <family val="3"/>
      <charset val="129"/>
    </font>
    <font>
      <sz val="12"/>
      <name val="명조"/>
      <family val="3"/>
      <charset val="129"/>
    </font>
    <font>
      <sz val="11"/>
      <name val="ⓒoUAAA¨u"/>
      <family val="1"/>
      <charset val="129"/>
    </font>
    <font>
      <sz val="10"/>
      <name val="μ¸¿oA¼"/>
      <family val="3"/>
      <charset val="129"/>
    </font>
    <font>
      <sz val="12"/>
      <name val="ⓒoUAAA¨u"/>
      <family val="1"/>
      <charset val="129"/>
    </font>
    <font>
      <b/>
      <sz val="11"/>
      <name val="굴림체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7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2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20"/>
      <name val="Arial"/>
      <family val="2"/>
    </font>
    <font>
      <sz val="10"/>
      <color indexed="19"/>
      <name val="Arial"/>
      <family val="2"/>
    </font>
    <font>
      <i/>
      <sz val="10"/>
      <color indexed="23"/>
      <name val="Arial"/>
      <family val="2"/>
    </font>
    <font>
      <b/>
      <sz val="10"/>
      <color indexed="22"/>
      <name val="Arial"/>
      <family val="2"/>
    </font>
    <font>
      <b/>
      <sz val="10"/>
      <color indexed="8"/>
      <name val="Arial"/>
      <family val="2"/>
    </font>
    <font>
      <sz val="10"/>
      <color indexed="62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b/>
      <sz val="18"/>
      <color indexed="62"/>
      <name val="맑은 고딕"/>
      <family val="3"/>
      <charset val="129"/>
    </font>
    <font>
      <sz val="10"/>
      <color indexed="17"/>
      <name val="Arial"/>
      <family val="2"/>
    </font>
    <font>
      <b/>
      <sz val="10"/>
      <color indexed="63"/>
      <name val="Arial"/>
      <family val="2"/>
    </font>
    <font>
      <sz val="10"/>
      <color indexed="8"/>
      <name val="맑은 고딕"/>
      <family val="3"/>
      <charset val="129"/>
    </font>
    <font>
      <u val="double"/>
      <sz val="12"/>
      <name val="궁서체"/>
      <family val="1"/>
      <charset val="129"/>
    </font>
    <font>
      <u/>
      <sz val="11"/>
      <color indexed="36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2"/>
      <color rgb="FF000000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나눔고딕"/>
      <family val="2"/>
      <charset val="129"/>
    </font>
    <font>
      <b/>
      <sz val="12"/>
      <color indexed="81"/>
      <name val="맑은 고딕"/>
      <family val="3"/>
      <charset val="129"/>
    </font>
    <font>
      <b/>
      <sz val="30"/>
      <name val="맑은 고딕"/>
      <family val="3"/>
      <charset val="129"/>
      <scheme val="minor"/>
    </font>
    <font>
      <b/>
      <sz val="20"/>
      <color indexed="81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2398">
    <xf numFmtId="0" fontId="0" fillId="0" borderId="0"/>
    <xf numFmtId="3" fontId="5" fillId="0" borderId="1"/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9" fillId="0" borderId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11" fillId="0" borderId="0" applyNumberFormat="0" applyFill="0" applyBorder="0" applyAlignment="0" applyProtection="0"/>
    <xf numFmtId="0" fontId="12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8" fontId="6" fillId="0" borderId="0" applyFont="0" applyFill="0" applyBorder="0" applyProtection="0">
      <alignment vertical="center"/>
    </xf>
    <xf numFmtId="179" fontId="6" fillId="0" borderId="0">
      <alignment vertical="center"/>
    </xf>
    <xf numFmtId="180" fontId="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" fontId="5" fillId="0" borderId="1"/>
    <xf numFmtId="3" fontId="5" fillId="0" borderId="1"/>
    <xf numFmtId="181" fontId="15" fillId="0" borderId="2" applyBorder="0">
      <alignment vertical="center"/>
    </xf>
    <xf numFmtId="182" fontId="16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3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6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4" fontId="1" fillId="0" borderId="0">
      <alignment vertical="center"/>
    </xf>
    <xf numFmtId="184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5" fontId="1" fillId="0" borderId="0">
      <alignment vertical="center"/>
    </xf>
    <xf numFmtId="182" fontId="16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187" fontId="1" fillId="0" borderId="0">
      <alignment vertical="center"/>
    </xf>
    <xf numFmtId="0" fontId="17" fillId="0" borderId="0"/>
    <xf numFmtId="0" fontId="18" fillId="0" borderId="0" applyFont="0" applyFill="0" applyBorder="0" applyAlignment="0" applyProtection="0"/>
    <xf numFmtId="188" fontId="19" fillId="0" borderId="0" applyFont="0" applyFill="0" applyBorder="0" applyAlignment="0" applyProtection="0"/>
    <xf numFmtId="189" fontId="20" fillId="0" borderId="0" applyFont="0" applyFill="0" applyBorder="0" applyAlignment="0" applyProtection="0"/>
    <xf numFmtId="189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1" fontId="19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193" fontId="20" fillId="0" borderId="0" applyFont="0" applyFill="0" applyBorder="0" applyAlignment="0" applyProtection="0"/>
    <xf numFmtId="0" fontId="21" fillId="0" borderId="0" applyFont="0" applyFill="0" applyBorder="0" applyAlignment="0" applyProtection="0"/>
    <xf numFmtId="181" fontId="19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38" fontId="20" fillId="0" borderId="0" applyFont="0" applyFill="0" applyBorder="0" applyAlignment="0" applyProtection="0"/>
    <xf numFmtId="0" fontId="18" fillId="0" borderId="0" applyFont="0" applyFill="0" applyBorder="0" applyAlignment="0" applyProtection="0"/>
    <xf numFmtId="194" fontId="19" fillId="0" borderId="0" applyFont="0" applyFill="0" applyBorder="0" applyAlignment="0" applyProtection="0"/>
    <xf numFmtId="194" fontId="20" fillId="0" borderId="0" applyFont="0" applyFill="0" applyBorder="0" applyAlignment="0" applyProtection="0"/>
    <xf numFmtId="194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0" fontId="22" fillId="0" borderId="0"/>
    <xf numFmtId="0" fontId="23" fillId="0" borderId="0"/>
    <xf numFmtId="0" fontId="20" fillId="0" borderId="0"/>
    <xf numFmtId="0" fontId="20" fillId="0" borderId="0"/>
    <xf numFmtId="0" fontId="20" fillId="0" borderId="0"/>
    <xf numFmtId="195" fontId="24" fillId="0" borderId="0" applyFill="0" applyBorder="0" applyAlignment="0"/>
    <xf numFmtId="0" fontId="25" fillId="0" borderId="0"/>
    <xf numFmtId="4" fontId="26" fillId="0" borderId="0">
      <protection locked="0"/>
    </xf>
    <xf numFmtId="177" fontId="13" fillId="0" borderId="0" applyFont="0" applyFill="0" applyBorder="0" applyAlignment="0" applyProtection="0"/>
    <xf numFmtId="196" fontId="1" fillId="0" borderId="0"/>
    <xf numFmtId="0" fontId="11" fillId="0" borderId="0" applyFont="0" applyFill="0" applyBorder="0" applyAlignment="0" applyProtection="0"/>
    <xf numFmtId="0" fontId="27" fillId="0" borderId="0" applyNumberFormat="0" applyAlignment="0">
      <alignment horizontal="left"/>
    </xf>
    <xf numFmtId="0" fontId="10" fillId="0" borderId="0">
      <protection locked="0"/>
    </xf>
    <xf numFmtId="190" fontId="13" fillId="0" borderId="0" applyFont="0" applyFill="0" applyBorder="0" applyAlignment="0" applyProtection="0"/>
    <xf numFmtId="0" fontId="1" fillId="0" borderId="0" applyFont="0" applyFill="0" applyBorder="0" applyAlignment="0" applyProtection="0"/>
    <xf numFmtId="197" fontId="10" fillId="0" borderId="0"/>
    <xf numFmtId="198" fontId="1" fillId="0" borderId="0" applyFont="0" applyFill="0" applyBorder="0" applyAlignment="0" applyProtection="0"/>
    <xf numFmtId="199" fontId="1" fillId="0" borderId="0" applyFont="0" applyFill="0" applyBorder="0" applyAlignment="0" applyProtection="0"/>
    <xf numFmtId="200" fontId="1" fillId="0" borderId="0"/>
    <xf numFmtId="0" fontId="28" fillId="0" borderId="0" applyNumberFormat="0" applyAlignment="0">
      <alignment horizontal="left"/>
    </xf>
    <xf numFmtId="38" fontId="29" fillId="2" borderId="0" applyNumberFormat="0" applyBorder="0" applyAlignment="0" applyProtection="0"/>
    <xf numFmtId="0" fontId="30" fillId="0" borderId="0">
      <alignment horizontal="left"/>
    </xf>
    <xf numFmtId="0" fontId="31" fillId="0" borderId="3" applyNumberFormat="0" applyAlignment="0" applyProtection="0">
      <alignment horizontal="left" vertical="center"/>
    </xf>
    <xf numFmtId="0" fontId="31" fillId="0" borderId="4">
      <alignment horizontal="left" vertical="center"/>
    </xf>
    <xf numFmtId="10" fontId="29" fillId="3" borderId="1" applyNumberFormat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2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7" fontId="33" fillId="0" borderId="0"/>
    <xf numFmtId="201" fontId="10" fillId="0" borderId="0"/>
    <xf numFmtId="0" fontId="11" fillId="0" borderId="0"/>
    <xf numFmtId="0" fontId="11" fillId="0" borderId="0"/>
    <xf numFmtId="0" fontId="10" fillId="0" borderId="0">
      <protection locked="0"/>
    </xf>
    <xf numFmtId="10" fontId="11" fillId="0" borderId="0" applyFont="0" applyFill="0" applyBorder="0" applyAlignment="0" applyProtection="0"/>
    <xf numFmtId="0" fontId="10" fillId="0" borderId="0">
      <protection locked="0"/>
    </xf>
    <xf numFmtId="30" fontId="34" fillId="0" borderId="0" applyNumberFormat="0" applyFill="0" applyBorder="0" applyAlignment="0" applyProtection="0">
      <alignment horizontal="left"/>
    </xf>
    <xf numFmtId="0" fontId="11" fillId="0" borderId="0"/>
    <xf numFmtId="0" fontId="32" fillId="0" borderId="0"/>
    <xf numFmtId="40" fontId="35" fillId="0" borderId="0" applyBorder="0">
      <alignment horizontal="right"/>
    </xf>
    <xf numFmtId="202" fontId="1" fillId="0" borderId="0" applyFont="0" applyFill="0" applyBorder="0" applyAlignment="0" applyProtection="0"/>
    <xf numFmtId="203" fontId="1" fillId="0" borderId="0" applyFont="0" applyFill="0" applyBorder="0" applyAlignment="0" applyProtection="0"/>
    <xf numFmtId="2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9" fillId="0" borderId="0"/>
    <xf numFmtId="204" fontId="40" fillId="0" borderId="6" applyBorder="0"/>
    <xf numFmtId="205" fontId="11" fillId="0" borderId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4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10" fillId="0" borderId="0"/>
    <xf numFmtId="206" fontId="1" fillId="0" borderId="0" applyFont="0" applyFill="0" applyBorder="0" applyAlignment="0" applyProtection="0"/>
    <xf numFmtId="0" fontId="7" fillId="0" borderId="0"/>
    <xf numFmtId="0" fontId="10" fillId="0" borderId="0" applyFont="0" applyFill="0" applyBorder="0" applyAlignment="0" applyProtection="0"/>
    <xf numFmtId="10" fontId="36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36" fillId="0" borderId="7" applyNumberFormat="0" applyFont="0" applyFill="0" applyAlignment="0" applyProtection="0"/>
    <xf numFmtId="207" fontId="36" fillId="0" borderId="0" applyFont="0" applyFill="0" applyBorder="0" applyAlignment="0" applyProtection="0"/>
    <xf numFmtId="208" fontId="36" fillId="0" borderId="0" applyFont="0" applyFill="0" applyBorder="0" applyAlignment="0" applyProtection="0"/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66" fillId="6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209" fontId="1" fillId="0" borderId="0"/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66" fillId="22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66" fillId="2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66" fillId="19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66" fillId="2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68" fillId="27" borderId="13" applyNumberFormat="0" applyAlignment="0" applyProtection="0">
      <alignment vertical="center"/>
    </xf>
    <xf numFmtId="0" fontId="52" fillId="26" borderId="13" applyNumberFormat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53" fillId="6" borderId="0" applyNumberFormat="0" applyBorder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2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0" fontId="1" fillId="9" borderId="14" applyNumberFormat="0" applyFont="0" applyAlignment="0" applyProtection="0">
      <alignment vertical="center"/>
    </xf>
    <xf numFmtId="9" fontId="1" fillId="0" borderId="0" applyFont="0" applyFill="0" applyBorder="0" applyAlignment="0" applyProtection="0"/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70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72" fillId="28" borderId="15" applyNumberFormat="0" applyAlignment="0" applyProtection="0">
      <alignment vertical="center"/>
    </xf>
    <xf numFmtId="0" fontId="56" fillId="28" borderId="15" applyNumberFormat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67" fillId="0" borderId="17" applyNumberFormat="0" applyFill="0" applyAlignment="0" applyProtection="0">
      <alignment vertical="center"/>
    </xf>
    <xf numFmtId="0" fontId="57" fillId="0" borderId="16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top"/>
      <protection locked="0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73" fillId="0" borderId="19" applyNumberFormat="0" applyFill="0" applyAlignment="0" applyProtection="0">
      <alignment vertical="center"/>
    </xf>
    <xf numFmtId="0" fontId="58" fillId="0" borderId="18" applyNumberFormat="0" applyFill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74" fillId="14" borderId="13" applyNumberFormat="0" applyAlignment="0" applyProtection="0">
      <alignment vertical="center"/>
    </xf>
    <xf numFmtId="0" fontId="59" fillId="11" borderId="13" applyNumberFormat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75" fillId="0" borderId="21" applyNumberFormat="0" applyFill="0" applyAlignment="0" applyProtection="0">
      <alignment vertical="center"/>
    </xf>
    <xf numFmtId="0" fontId="61" fillId="0" borderId="20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76" fillId="0" borderId="23" applyNumberFormat="0" applyFill="0" applyAlignment="0" applyProtection="0">
      <alignment vertical="center"/>
    </xf>
    <xf numFmtId="0" fontId="62" fillId="0" borderId="22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77" fillId="0" borderId="25" applyNumberFormat="0" applyFill="0" applyAlignment="0" applyProtection="0">
      <alignment vertical="center"/>
    </xf>
    <xf numFmtId="0" fontId="63" fillId="0" borderId="24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80" fillId="27" borderId="26" applyNumberFormat="0" applyAlignment="0" applyProtection="0">
      <alignment vertical="center"/>
    </xf>
    <xf numFmtId="0" fontId="65" fillId="26" borderId="26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81" fillId="0" borderId="0">
      <alignment vertical="center"/>
    </xf>
    <xf numFmtId="0" fontId="84" fillId="0" borderId="0">
      <alignment vertical="center"/>
    </xf>
    <xf numFmtId="1" fontId="82" fillId="29" borderId="0">
      <alignment vertical="center"/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9" fontId="1" fillId="0" borderId="0" applyFont="0" applyFill="0" applyBorder="0" applyAlignment="0" applyProtection="0"/>
    <xf numFmtId="0" fontId="3" fillId="0" borderId="0">
      <alignment vertical="center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  <xf numFmtId="0" fontId="26" fillId="0" borderId="0">
      <protection locked="0"/>
    </xf>
  </cellStyleXfs>
  <cellXfs count="205">
    <xf numFmtId="0" fontId="0" fillId="0" borderId="0" xfId="0"/>
    <xf numFmtId="0" fontId="0" fillId="0" borderId="0" xfId="0" applyAlignment="1">
      <alignment vertical="center"/>
    </xf>
    <xf numFmtId="0" fontId="4" fillId="30" borderId="1" xfId="0" applyFont="1" applyFill="1" applyBorder="1" applyAlignment="1">
      <alignment horizontal="center" vertical="center" shrinkToFit="1"/>
    </xf>
    <xf numFmtId="0" fontId="4" fillId="30" borderId="1" xfId="0" applyFont="1" applyFill="1" applyBorder="1" applyAlignment="1">
      <alignment horizontal="center" vertical="center"/>
    </xf>
    <xf numFmtId="0" fontId="44" fillId="30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41" fontId="86" fillId="0" borderId="37" xfId="1434" applyNumberFormat="1" applyFont="1" applyBorder="1" applyAlignment="1">
      <alignment horizontal="center" vertical="center" shrinkToFit="1"/>
    </xf>
    <xf numFmtId="0" fontId="4" fillId="34" borderId="1" xfId="0" applyFont="1" applyFill="1" applyBorder="1" applyAlignment="1">
      <alignment horizontal="center" vertical="center"/>
    </xf>
    <xf numFmtId="0" fontId="0" fillId="34" borderId="0" xfId="0" applyFill="1" applyAlignment="1">
      <alignment vertical="center"/>
    </xf>
    <xf numFmtId="0" fontId="0" fillId="34" borderId="0" xfId="0" applyFill="1"/>
    <xf numFmtId="213" fontId="46" fillId="32" borderId="31" xfId="1417" applyNumberFormat="1" applyFont="1" applyFill="1" applyBorder="1" applyAlignment="1">
      <alignment vertical="center" shrinkToFit="1"/>
    </xf>
    <xf numFmtId="0" fontId="46" fillId="0" borderId="31" xfId="1434" applyFont="1" applyBorder="1" applyAlignment="1">
      <alignment horizontal="center" vertical="center" shrinkToFit="1"/>
    </xf>
    <xf numFmtId="0" fontId="46" fillId="0" borderId="34" xfId="1434" applyFont="1" applyBorder="1" applyAlignment="1">
      <alignment horizontal="center" vertical="center" shrinkToFit="1"/>
    </xf>
    <xf numFmtId="0" fontId="46" fillId="0" borderId="37" xfId="1434" applyFont="1" applyBorder="1" applyAlignment="1">
      <alignment horizontal="center" vertical="center" shrinkToFit="1"/>
    </xf>
    <xf numFmtId="0" fontId="46" fillId="32" borderId="31" xfId="1434" applyFont="1" applyFill="1" applyBorder="1" applyAlignment="1">
      <alignment horizontal="center" vertical="center" shrinkToFit="1"/>
    </xf>
    <xf numFmtId="41" fontId="46" fillId="32" borderId="31" xfId="1434" applyNumberFormat="1" applyFont="1" applyFill="1" applyBorder="1" applyAlignment="1">
      <alignment horizontal="center" vertical="center" shrinkToFit="1"/>
    </xf>
    <xf numFmtId="41" fontId="46" fillId="32" borderId="31" xfId="0" applyNumberFormat="1" applyFont="1" applyFill="1" applyBorder="1" applyAlignment="1">
      <alignment vertical="center" shrinkToFit="1"/>
    </xf>
    <xf numFmtId="0" fontId="47" fillId="32" borderId="32" xfId="0" applyFont="1" applyFill="1" applyBorder="1" applyAlignment="1">
      <alignment horizontal="center" vertical="center" shrinkToFit="1"/>
    </xf>
    <xf numFmtId="0" fontId="46" fillId="32" borderId="31" xfId="0" applyFont="1" applyFill="1" applyBorder="1" applyAlignment="1">
      <alignment horizontal="center" vertical="center" shrinkToFit="1"/>
    </xf>
    <xf numFmtId="0" fontId="46" fillId="32" borderId="44" xfId="1434" applyFont="1" applyFill="1" applyBorder="1" applyAlignment="1">
      <alignment horizontal="center" vertical="center" shrinkToFit="1"/>
    </xf>
    <xf numFmtId="0" fontId="46" fillId="32" borderId="37" xfId="1434" applyFont="1" applyFill="1" applyBorder="1" applyAlignment="1">
      <alignment horizontal="center" vertical="center" shrinkToFit="1"/>
    </xf>
    <xf numFmtId="41" fontId="46" fillId="32" borderId="37" xfId="1434" applyNumberFormat="1" applyFont="1" applyFill="1" applyBorder="1" applyAlignment="1">
      <alignment horizontal="center" vertical="center" shrinkToFit="1"/>
    </xf>
    <xf numFmtId="41" fontId="46" fillId="32" borderId="37" xfId="0" applyNumberFormat="1" applyFont="1" applyFill="1" applyBorder="1" applyAlignment="1">
      <alignment vertical="center" shrinkToFit="1"/>
    </xf>
    <xf numFmtId="0" fontId="47" fillId="32" borderId="38" xfId="0" applyFont="1" applyFill="1" applyBorder="1" applyAlignment="1">
      <alignment horizontal="center" vertical="center" shrinkToFit="1"/>
    </xf>
    <xf numFmtId="213" fontId="46" fillId="32" borderId="38" xfId="1417" applyNumberFormat="1" applyFont="1" applyFill="1" applyBorder="1" applyAlignment="1">
      <alignment horizontal="center" vertical="center" shrinkToFit="1"/>
    </xf>
    <xf numFmtId="0" fontId="46" fillId="32" borderId="37" xfId="0" applyFont="1" applyFill="1" applyBorder="1" applyAlignment="1">
      <alignment horizontal="center" vertical="center" shrinkToFit="1"/>
    </xf>
    <xf numFmtId="0" fontId="46" fillId="30" borderId="34" xfId="0" applyFont="1" applyFill="1" applyBorder="1" applyAlignment="1">
      <alignment horizontal="center" vertical="center" shrinkToFit="1"/>
    </xf>
    <xf numFmtId="211" fontId="46" fillId="30" borderId="34" xfId="0" applyNumberFormat="1" applyFont="1" applyFill="1" applyBorder="1" applyAlignment="1">
      <alignment horizontal="center" vertical="center" shrinkToFit="1"/>
    </xf>
    <xf numFmtId="41" fontId="46" fillId="34" borderId="34" xfId="1417" applyFont="1" applyFill="1" applyBorder="1" applyAlignment="1">
      <alignment horizontal="center" vertical="center" shrinkToFit="1"/>
    </xf>
    <xf numFmtId="41" fontId="95" fillId="34" borderId="34" xfId="1418" applyFont="1" applyFill="1" applyBorder="1" applyAlignment="1">
      <alignment horizontal="center" vertical="center" shrinkToFit="1"/>
    </xf>
    <xf numFmtId="41" fontId="95" fillId="34" borderId="34" xfId="1434" applyNumberFormat="1" applyFont="1" applyFill="1" applyBorder="1" applyAlignment="1">
      <alignment horizontal="center" shrinkToFit="1"/>
    </xf>
    <xf numFmtId="41" fontId="95" fillId="34" borderId="35" xfId="1417" applyFont="1" applyFill="1" applyBorder="1" applyAlignment="1">
      <alignment horizontal="center" vertical="center" shrinkToFit="1"/>
    </xf>
    <xf numFmtId="41" fontId="95" fillId="3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Border="1" applyAlignment="1">
      <alignment horizontal="center" vertical="center" shrinkToFit="1"/>
    </xf>
    <xf numFmtId="213" fontId="46" fillId="30" borderId="35" xfId="1417" applyNumberFormat="1" applyFont="1" applyFill="1" applyBorder="1" applyAlignment="1">
      <alignment horizontal="center" vertical="center" shrinkToFit="1"/>
    </xf>
    <xf numFmtId="176" fontId="46" fillId="0" borderId="34" xfId="1434" applyNumberFormat="1" applyFont="1" applyBorder="1" applyAlignment="1">
      <alignment horizontal="center" vertical="center" shrinkToFit="1"/>
    </xf>
    <xf numFmtId="0" fontId="46" fillId="30" borderId="37" xfId="0" applyFont="1" applyFill="1" applyBorder="1" applyAlignment="1">
      <alignment horizontal="center" vertical="center" shrinkToFit="1"/>
    </xf>
    <xf numFmtId="211" fontId="46" fillId="30" borderId="37" xfId="0" applyNumberFormat="1" applyFont="1" applyFill="1" applyBorder="1" applyAlignment="1">
      <alignment horizontal="center" vertical="center" shrinkToFit="1"/>
    </xf>
    <xf numFmtId="41" fontId="46" fillId="34" borderId="37" xfId="1417" applyFont="1" applyFill="1" applyBorder="1" applyAlignment="1">
      <alignment horizontal="center" vertical="center" shrinkToFit="1"/>
    </xf>
    <xf numFmtId="41" fontId="95" fillId="34" borderId="37" xfId="1418" applyFont="1" applyFill="1" applyBorder="1" applyAlignment="1">
      <alignment horizontal="center" vertical="center" shrinkToFit="1"/>
    </xf>
    <xf numFmtId="41" fontId="95" fillId="34" borderId="37" xfId="1434" applyNumberFormat="1" applyFont="1" applyFill="1" applyBorder="1" applyAlignment="1">
      <alignment horizontal="center" shrinkToFit="1"/>
    </xf>
    <xf numFmtId="41" fontId="95" fillId="34" borderId="38" xfId="1417" applyFont="1" applyFill="1" applyBorder="1" applyAlignment="1">
      <alignment horizontal="center" vertical="center" shrinkToFit="1"/>
    </xf>
    <xf numFmtId="41" fontId="95" fillId="30" borderId="37" xfId="1417" applyFont="1" applyFill="1" applyBorder="1" applyAlignment="1">
      <alignment horizontal="center" vertical="center" shrinkToFit="1"/>
    </xf>
    <xf numFmtId="0" fontId="93" fillId="0" borderId="38" xfId="1417" applyNumberFormat="1" applyFont="1" applyBorder="1" applyAlignment="1">
      <alignment horizontal="center" vertical="center" shrinkToFit="1"/>
    </xf>
    <xf numFmtId="176" fontId="46" fillId="0" borderId="37" xfId="1434" applyNumberFormat="1" applyFont="1" applyBorder="1" applyAlignment="1">
      <alignment horizontal="center" vertical="center" shrinkToFit="1"/>
    </xf>
    <xf numFmtId="41" fontId="46" fillId="34" borderId="45" xfId="1417" applyFont="1" applyFill="1" applyBorder="1" applyAlignment="1">
      <alignment vertical="center" shrinkToFit="1"/>
    </xf>
    <xf numFmtId="41" fontId="46" fillId="34" borderId="33" xfId="1417" applyFont="1" applyFill="1" applyBorder="1" applyAlignment="1">
      <alignment vertical="center" shrinkToFit="1"/>
    </xf>
    <xf numFmtId="41" fontId="46" fillId="34" borderId="34" xfId="1417" applyFont="1" applyFill="1" applyBorder="1" applyAlignment="1">
      <alignment vertical="center" shrinkToFit="1"/>
    </xf>
    <xf numFmtId="41" fontId="46" fillId="34" borderId="37" xfId="1417" applyFont="1" applyFill="1" applyBorder="1" applyAlignment="1">
      <alignment vertical="center" shrinkToFit="1"/>
    </xf>
    <xf numFmtId="41" fontId="46" fillId="34" borderId="36" xfId="1417" applyFont="1" applyFill="1" applyBorder="1" applyAlignment="1">
      <alignment vertical="center" shrinkToFit="1"/>
    </xf>
    <xf numFmtId="0" fontId="46" fillId="31" borderId="6" xfId="1434" applyFont="1" applyFill="1" applyBorder="1" applyAlignment="1">
      <alignment horizontal="center" vertical="center" shrinkToFit="1"/>
    </xf>
    <xf numFmtId="0" fontId="46" fillId="0" borderId="0" xfId="0" applyFont="1" applyAlignment="1">
      <alignment vertical="center" shrinkToFit="1"/>
    </xf>
    <xf numFmtId="0" fontId="91" fillId="32" borderId="1" xfId="0" applyFont="1" applyFill="1" applyBorder="1" applyAlignment="1">
      <alignment horizontal="center" vertical="center" shrinkToFit="1"/>
    </xf>
    <xf numFmtId="213" fontId="91" fillId="32" borderId="1" xfId="1417" applyNumberFormat="1" applyFont="1" applyFill="1" applyBorder="1" applyAlignment="1">
      <alignment horizontal="center" vertical="center" shrinkToFit="1"/>
    </xf>
    <xf numFmtId="0" fontId="92" fillId="0" borderId="0" xfId="0" applyFont="1" applyAlignment="1">
      <alignment vertical="center" shrinkToFit="1"/>
    </xf>
    <xf numFmtId="213" fontId="86" fillId="0" borderId="31" xfId="1417" applyNumberFormat="1" applyFont="1" applyBorder="1" applyAlignment="1">
      <alignment horizontal="center" vertical="center" shrinkToFit="1"/>
    </xf>
    <xf numFmtId="41" fontId="86" fillId="0" borderId="31" xfId="1417" applyFont="1" applyBorder="1" applyAlignment="1">
      <alignment horizontal="center" vertical="center" shrinkToFit="1"/>
    </xf>
    <xf numFmtId="0" fontId="86" fillId="0" borderId="31" xfId="0" applyFont="1" applyBorder="1" applyAlignment="1">
      <alignment horizontal="center" vertical="center" shrinkToFit="1"/>
    </xf>
    <xf numFmtId="213" fontId="86" fillId="0" borderId="34" xfId="1417" applyNumberFormat="1" applyFont="1" applyBorder="1" applyAlignment="1">
      <alignment horizontal="center" vertical="center" shrinkToFit="1"/>
    </xf>
    <xf numFmtId="41" fontId="86" fillId="0" borderId="34" xfId="1417" applyFont="1" applyBorder="1" applyAlignment="1">
      <alignment horizontal="center" vertical="center" shrinkToFit="1"/>
    </xf>
    <xf numFmtId="0" fontId="86" fillId="0" borderId="34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left" vertical="center" shrinkToFit="1"/>
    </xf>
    <xf numFmtId="213" fontId="86" fillId="0" borderId="37" xfId="1417" applyNumberFormat="1" applyFont="1" applyBorder="1" applyAlignment="1">
      <alignment horizontal="center" vertical="center" shrinkToFit="1"/>
    </xf>
    <xf numFmtId="41" fontId="86" fillId="0" borderId="37" xfId="1417" applyFont="1" applyBorder="1" applyAlignment="1">
      <alignment horizontal="center" vertical="center" shrinkToFit="1"/>
    </xf>
    <xf numFmtId="0" fontId="86" fillId="0" borderId="37" xfId="0" applyFont="1" applyBorder="1" applyAlignment="1">
      <alignment horizontal="center" vertical="center" shrinkToFit="1"/>
    </xf>
    <xf numFmtId="41" fontId="46" fillId="31" borderId="1" xfId="1417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6" fillId="31" borderId="1" xfId="0" applyFont="1" applyFill="1" applyBorder="1" applyAlignment="1">
      <alignment horizontal="center" vertical="center" shrinkToFit="1"/>
    </xf>
    <xf numFmtId="0" fontId="92" fillId="0" borderId="0" xfId="0" applyFont="1" applyAlignment="1">
      <alignment shrinkToFit="1"/>
    </xf>
    <xf numFmtId="0" fontId="92" fillId="32" borderId="0" xfId="0" applyFont="1" applyFill="1" applyAlignment="1">
      <alignment shrinkToFit="1"/>
    </xf>
    <xf numFmtId="0" fontId="92" fillId="32" borderId="0" xfId="0" applyFont="1" applyFill="1" applyAlignment="1">
      <alignment vertical="center" shrinkToFit="1"/>
    </xf>
    <xf numFmtId="41" fontId="92" fillId="0" borderId="0" xfId="0" applyNumberFormat="1" applyFont="1" applyAlignment="1">
      <alignment vertical="center" shrinkToFit="1"/>
    </xf>
    <xf numFmtId="0" fontId="86" fillId="0" borderId="0" xfId="0" applyFont="1" applyAlignment="1">
      <alignment vertical="center" shrinkToFit="1"/>
    </xf>
    <xf numFmtId="213" fontId="92" fillId="0" borderId="0" xfId="1417" applyNumberFormat="1" applyFont="1" applyAlignment="1">
      <alignment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41" fontId="86" fillId="0" borderId="35" xfId="1434" applyNumberFormat="1" applyFont="1" applyBorder="1" applyAlignment="1">
      <alignment horizontal="center" vertical="center" shrinkToFit="1"/>
    </xf>
    <xf numFmtId="41" fontId="86" fillId="0" borderId="38" xfId="1434" applyNumberFormat="1" applyFont="1" applyBorder="1" applyAlignment="1">
      <alignment horizontal="center" vertical="center" shrinkToFit="1"/>
    </xf>
    <xf numFmtId="0" fontId="91" fillId="32" borderId="43" xfId="0" applyFont="1" applyFill="1" applyBorder="1" applyAlignment="1">
      <alignment horizontal="center" vertical="center" shrinkToFit="1"/>
    </xf>
    <xf numFmtId="41" fontId="93" fillId="34" borderId="33" xfId="1417" applyFont="1" applyFill="1" applyBorder="1" applyAlignment="1">
      <alignment horizontal="center" vertical="center" shrinkToFit="1"/>
    </xf>
    <xf numFmtId="41" fontId="93" fillId="34" borderId="36" xfId="1417" applyFont="1" applyFill="1" applyBorder="1" applyAlignment="1">
      <alignment horizontal="center" vertical="center" shrinkToFit="1"/>
    </xf>
    <xf numFmtId="41" fontId="86" fillId="0" borderId="34" xfId="1434" applyNumberFormat="1" applyFont="1" applyBorder="1" applyAlignment="1">
      <alignment horizontal="center" vertical="center"/>
    </xf>
    <xf numFmtId="41" fontId="86" fillId="0" borderId="34" xfId="1434" applyNumberFormat="1" applyFont="1" applyBorder="1" applyAlignment="1">
      <alignment horizontal="left" vertical="center" shrinkToFit="1"/>
    </xf>
    <xf numFmtId="41" fontId="86" fillId="0" borderId="34" xfId="1434" applyNumberFormat="1" applyFont="1" applyBorder="1" applyAlignment="1">
      <alignment horizontal="center" vertical="center" wrapText="1"/>
    </xf>
    <xf numFmtId="41" fontId="86" fillId="0" borderId="37" xfId="1434" applyNumberFormat="1" applyFont="1" applyBorder="1" applyAlignment="1">
      <alignment horizontal="left" vertical="center" shrinkToFit="1"/>
    </xf>
    <xf numFmtId="41" fontId="86" fillId="0" borderId="47" xfId="1434" applyNumberFormat="1" applyFont="1" applyBorder="1" applyAlignment="1">
      <alignment horizontal="center" vertical="center"/>
    </xf>
    <xf numFmtId="41" fontId="86" fillId="0" borderId="47" xfId="1434" applyNumberFormat="1" applyFont="1" applyBorder="1" applyAlignment="1">
      <alignment horizontal="left" vertical="center" shrinkToFit="1"/>
    </xf>
    <xf numFmtId="41" fontId="93" fillId="34" borderId="48" xfId="1417" applyFont="1" applyFill="1" applyBorder="1" applyAlignment="1">
      <alignment horizontal="center" vertical="center" shrinkToFit="1"/>
    </xf>
    <xf numFmtId="41" fontId="4" fillId="34" borderId="1" xfId="0" applyNumberFormat="1" applyFont="1" applyFill="1" applyBorder="1" applyAlignment="1">
      <alignment horizontal="center" vertical="center"/>
    </xf>
    <xf numFmtId="41" fontId="86" fillId="30" borderId="47" xfId="1434" applyNumberFormat="1" applyFont="1" applyFill="1" applyBorder="1" applyAlignment="1">
      <alignment horizontal="center" vertical="center" shrinkToFit="1"/>
    </xf>
    <xf numFmtId="41" fontId="86" fillId="30" borderId="46" xfId="1434" applyNumberFormat="1" applyFont="1" applyFill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/>
    </xf>
    <xf numFmtId="41" fontId="46" fillId="0" borderId="45" xfId="1417" applyFont="1" applyFill="1" applyBorder="1" applyAlignment="1">
      <alignment vertical="center" shrinkToFit="1"/>
    </xf>
    <xf numFmtId="0" fontId="96" fillId="0" borderId="1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41" fontId="46" fillId="32" borderId="44" xfId="1434" applyNumberFormat="1" applyFont="1" applyFill="1" applyBorder="1" applyAlignment="1">
      <alignment horizontal="center" vertical="center" shrinkToFit="1"/>
    </xf>
    <xf numFmtId="41" fontId="46" fillId="32" borderId="44" xfId="0" applyNumberFormat="1" applyFont="1" applyFill="1" applyBorder="1" applyAlignment="1">
      <alignment vertical="center" shrinkToFit="1"/>
    </xf>
    <xf numFmtId="0" fontId="47" fillId="32" borderId="49" xfId="0" applyFont="1" applyFill="1" applyBorder="1" applyAlignment="1">
      <alignment horizontal="center" vertical="center" shrinkToFit="1"/>
    </xf>
    <xf numFmtId="213" fontId="46" fillId="32" borderId="49" xfId="1417" applyNumberFormat="1" applyFont="1" applyFill="1" applyBorder="1" applyAlignment="1">
      <alignment horizontal="center" vertical="center" shrinkToFit="1"/>
    </xf>
    <xf numFmtId="0" fontId="46" fillId="32" borderId="44" xfId="0" applyFont="1" applyFill="1" applyBorder="1" applyAlignment="1">
      <alignment horizontal="center" vertical="center" shrinkToFit="1"/>
    </xf>
    <xf numFmtId="176" fontId="46" fillId="0" borderId="32" xfId="1434" applyNumberFormat="1" applyFont="1" applyBorder="1" applyAlignment="1">
      <alignment horizontal="center" vertical="center" shrinkToFit="1"/>
    </xf>
    <xf numFmtId="0" fontId="93" fillId="0" borderId="34" xfId="1417" applyNumberFormat="1" applyFont="1" applyBorder="1" applyAlignment="1">
      <alignment horizontal="center" vertical="center" shrinkToFit="1"/>
    </xf>
    <xf numFmtId="41" fontId="46" fillId="0" borderId="45" xfId="1417" applyFont="1" applyFill="1" applyBorder="1" applyAlignment="1">
      <alignment horizontal="center" vertical="center" shrinkToFit="1"/>
    </xf>
    <xf numFmtId="41" fontId="46" fillId="34" borderId="45" xfId="1417" applyFont="1" applyFill="1" applyBorder="1" applyAlignment="1">
      <alignment horizontal="center" vertical="center" shrinkToFit="1"/>
    </xf>
    <xf numFmtId="41" fontId="86" fillId="30" borderId="35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wrapText="1"/>
    </xf>
    <xf numFmtId="41" fontId="46" fillId="35" borderId="45" xfId="1417" applyFont="1" applyFill="1" applyBorder="1" applyAlignment="1">
      <alignment vertical="center" shrinkToFit="1"/>
    </xf>
    <xf numFmtId="41" fontId="46" fillId="35" borderId="34" xfId="1417" applyFont="1" applyFill="1" applyBorder="1" applyAlignment="1">
      <alignment vertical="center" shrinkToFit="1"/>
    </xf>
    <xf numFmtId="41" fontId="46" fillId="35" borderId="33" xfId="1417" applyFont="1" applyFill="1" applyBorder="1" applyAlignment="1">
      <alignment vertical="center" shrinkToFit="1"/>
    </xf>
    <xf numFmtId="0" fontId="46" fillId="35" borderId="34" xfId="0" applyFont="1" applyFill="1" applyBorder="1" applyAlignment="1">
      <alignment horizontal="center" vertical="center" shrinkToFit="1"/>
    </xf>
    <xf numFmtId="211" fontId="46" fillId="35" borderId="34" xfId="0" applyNumberFormat="1" applyFont="1" applyFill="1" applyBorder="1" applyAlignment="1">
      <alignment horizontal="center" vertical="center" shrinkToFit="1"/>
    </xf>
    <xf numFmtId="41" fontId="46" fillId="35" borderId="34" xfId="1417" applyFont="1" applyFill="1" applyBorder="1" applyAlignment="1">
      <alignment horizontal="center" vertical="center" shrinkToFit="1"/>
    </xf>
    <xf numFmtId="41" fontId="95" fillId="35" borderId="34" xfId="1418" applyFont="1" applyFill="1" applyBorder="1" applyAlignment="1">
      <alignment horizontal="center" vertical="center" shrinkToFit="1"/>
    </xf>
    <xf numFmtId="41" fontId="95" fillId="35" borderId="34" xfId="1434" applyNumberFormat="1" applyFont="1" applyFill="1" applyBorder="1" applyAlignment="1">
      <alignment horizontal="center" shrinkToFit="1"/>
    </xf>
    <xf numFmtId="41" fontId="95" fillId="35" borderId="35" xfId="1417" applyFont="1" applyFill="1" applyBorder="1" applyAlignment="1">
      <alignment horizontal="center" vertical="center" shrinkToFit="1"/>
    </xf>
    <xf numFmtId="41" fontId="95" fillId="35" borderId="34" xfId="1417" applyFont="1" applyFill="1" applyBorder="1" applyAlignment="1">
      <alignment horizontal="center" vertical="center" shrinkToFit="1"/>
    </xf>
    <xf numFmtId="0" fontId="93" fillId="35" borderId="35" xfId="1417" applyNumberFormat="1" applyFont="1" applyFill="1" applyBorder="1" applyAlignment="1">
      <alignment horizontal="center" vertical="center" shrinkToFit="1"/>
    </xf>
    <xf numFmtId="213" fontId="46" fillId="35" borderId="35" xfId="1417" applyNumberFormat="1" applyFont="1" applyFill="1" applyBorder="1" applyAlignment="1">
      <alignment horizontal="center" vertical="center" shrinkToFit="1"/>
    </xf>
    <xf numFmtId="41" fontId="89" fillId="0" borderId="40" xfId="1417" applyFont="1" applyBorder="1" applyAlignment="1">
      <alignment horizontal="left" vertical="center" shrinkToFit="1"/>
    </xf>
    <xf numFmtId="41" fontId="89" fillId="0" borderId="0" xfId="1417" applyFont="1" applyBorder="1" applyAlignment="1">
      <alignment horizontal="left" vertical="center" shrinkToFit="1"/>
    </xf>
    <xf numFmtId="41" fontId="89" fillId="0" borderId="12" xfId="1417" applyFont="1" applyBorder="1" applyAlignment="1">
      <alignment horizontal="left" vertical="center" shrinkToFit="1"/>
    </xf>
    <xf numFmtId="41" fontId="89" fillId="0" borderId="30" xfId="1417" applyFont="1" applyBorder="1" applyAlignment="1">
      <alignment horizontal="left" vertical="center" shrinkToFit="1"/>
    </xf>
    <xf numFmtId="41" fontId="47" fillId="32" borderId="10" xfId="1434" applyNumberFormat="1" applyFont="1" applyFill="1" applyBorder="1" applyAlignment="1">
      <alignment horizontal="center" vertical="center" shrinkToFit="1"/>
    </xf>
    <xf numFmtId="41" fontId="47" fillId="32" borderId="4" xfId="1434" applyNumberFormat="1" applyFont="1" applyFill="1" applyBorder="1" applyAlignment="1">
      <alignment horizontal="center" vertical="center" shrinkToFit="1"/>
    </xf>
    <xf numFmtId="41" fontId="86" fillId="33" borderId="47" xfId="1434" applyNumberFormat="1" applyFont="1" applyFill="1" applyBorder="1" applyAlignment="1">
      <alignment horizontal="center" vertical="center" shrinkToFit="1"/>
    </xf>
    <xf numFmtId="41" fontId="86" fillId="33" borderId="34" xfId="1434" applyNumberFormat="1" applyFont="1" applyFill="1" applyBorder="1" applyAlignment="1">
      <alignment horizontal="center" vertical="center" shrinkToFit="1"/>
    </xf>
    <xf numFmtId="41" fontId="86" fillId="30" borderId="34" xfId="1434" applyNumberFormat="1" applyFont="1" applyFill="1" applyBorder="1" applyAlignment="1">
      <alignment horizontal="center" vertical="center" shrinkToFit="1"/>
    </xf>
    <xf numFmtId="41" fontId="86" fillId="30" borderId="37" xfId="1434" applyNumberFormat="1" applyFont="1" applyFill="1" applyBorder="1" applyAlignment="1">
      <alignment horizontal="center" vertical="center" shrinkToFit="1"/>
    </xf>
    <xf numFmtId="210" fontId="94" fillId="34" borderId="10" xfId="0" applyNumberFormat="1" applyFont="1" applyFill="1" applyBorder="1" applyAlignment="1">
      <alignment horizontal="center" vertical="center" shrinkToFit="1"/>
    </xf>
    <xf numFmtId="210" fontId="94" fillId="34" borderId="43" xfId="0" applyNumberFormat="1" applyFont="1" applyFill="1" applyBorder="1" applyAlignment="1">
      <alignment horizontal="center" vertical="center" shrinkToFit="1"/>
    </xf>
    <xf numFmtId="41" fontId="46" fillId="34" borderId="10" xfId="1417" applyFont="1" applyFill="1" applyBorder="1" applyAlignment="1">
      <alignment horizontal="center" vertical="center" shrinkToFit="1"/>
    </xf>
    <xf numFmtId="41" fontId="46" fillId="34" borderId="43" xfId="1417" applyFont="1" applyFill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left" vertical="center" shrinkToFit="1"/>
    </xf>
    <xf numFmtId="41" fontId="46" fillId="31" borderId="4" xfId="1417" applyFont="1" applyFill="1" applyBorder="1" applyAlignment="1">
      <alignment horizontal="left" vertical="center" shrinkToFit="1"/>
    </xf>
    <xf numFmtId="41" fontId="46" fillId="31" borderId="43" xfId="1417" applyFont="1" applyFill="1" applyBorder="1" applyAlignment="1">
      <alignment horizontal="left" vertical="center" shrinkToFit="1"/>
    </xf>
    <xf numFmtId="212" fontId="46" fillId="0" borderId="6" xfId="1434" applyNumberFormat="1" applyFont="1" applyBorder="1" applyAlignment="1">
      <alignment horizontal="center" vertical="center" shrinkToFit="1"/>
    </xf>
    <xf numFmtId="41" fontId="46" fillId="31" borderId="10" xfId="1417" applyFont="1" applyFill="1" applyBorder="1" applyAlignment="1">
      <alignment horizontal="center" vertical="center" shrinkToFit="1"/>
    </xf>
    <xf numFmtId="41" fontId="46" fillId="31" borderId="4" xfId="1417" applyFont="1" applyFill="1" applyBorder="1" applyAlignment="1">
      <alignment horizontal="center" vertical="center" shrinkToFit="1"/>
    </xf>
    <xf numFmtId="41" fontId="46" fillId="31" borderId="43" xfId="1417" applyFont="1" applyFill="1" applyBorder="1" applyAlignment="1">
      <alignment horizontal="center" vertical="center" shrinkToFit="1"/>
    </xf>
    <xf numFmtId="0" fontId="46" fillId="31" borderId="8" xfId="1434" applyFont="1" applyFill="1" applyBorder="1" applyAlignment="1">
      <alignment horizontal="center" vertical="center" shrinkToFit="1"/>
    </xf>
    <xf numFmtId="0" fontId="46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wrapText="1" shrinkToFit="1"/>
    </xf>
    <xf numFmtId="0" fontId="47" fillId="31" borderId="1" xfId="1434" applyFont="1" applyFill="1" applyBorder="1" applyAlignment="1">
      <alignment horizontal="center" vertical="center" shrinkToFit="1"/>
    </xf>
    <xf numFmtId="0" fontId="47" fillId="31" borderId="8" xfId="1434" applyFont="1" applyFill="1" applyBorder="1" applyAlignment="1">
      <alignment horizontal="center" vertical="center" shrinkToFit="1"/>
    </xf>
    <xf numFmtId="0" fontId="46" fillId="31" borderId="27" xfId="1434" applyFont="1" applyFill="1" applyBorder="1" applyAlignment="1">
      <alignment horizontal="center" vertical="center" shrinkToFit="1"/>
    </xf>
    <xf numFmtId="0" fontId="46" fillId="31" borderId="28" xfId="1434" applyFont="1" applyFill="1" applyBorder="1" applyAlignment="1">
      <alignment horizontal="center" vertical="center" shrinkToFit="1"/>
    </xf>
    <xf numFmtId="0" fontId="46" fillId="31" borderId="9" xfId="1434" applyFont="1" applyFill="1" applyBorder="1" applyAlignment="1">
      <alignment horizontal="center" vertical="center" shrinkToFit="1"/>
    </xf>
    <xf numFmtId="41" fontId="46" fillId="31" borderId="8" xfId="1434" applyNumberFormat="1" applyFont="1" applyFill="1" applyBorder="1" applyAlignment="1">
      <alignment horizontal="center" vertical="center" shrinkToFit="1"/>
    </xf>
    <xf numFmtId="41" fontId="46" fillId="31" borderId="1" xfId="1434" applyNumberFormat="1" applyFont="1" applyFill="1" applyBorder="1" applyAlignment="1">
      <alignment horizontal="center" vertical="center" shrinkToFit="1"/>
    </xf>
    <xf numFmtId="41" fontId="47" fillId="32" borderId="1" xfId="1434" applyNumberFormat="1" applyFont="1" applyFill="1" applyBorder="1" applyAlignment="1">
      <alignment horizontal="center" vertical="center"/>
    </xf>
    <xf numFmtId="41" fontId="46" fillId="34" borderId="10" xfId="1417" applyFont="1" applyFill="1" applyBorder="1" applyAlignment="1">
      <alignment horizontal="left" vertical="center" shrinkToFit="1"/>
    </xf>
    <xf numFmtId="41" fontId="46" fillId="34" borderId="4" xfId="1417" applyFont="1" applyFill="1" applyBorder="1" applyAlignment="1">
      <alignment horizontal="left" vertical="center" shrinkToFit="1"/>
    </xf>
    <xf numFmtId="41" fontId="46" fillId="34" borderId="43" xfId="1417" applyFont="1" applyFill="1" applyBorder="1" applyAlignment="1">
      <alignment horizontal="left" vertical="center" shrinkToFit="1"/>
    </xf>
    <xf numFmtId="41" fontId="48" fillId="34" borderId="40" xfId="1417" applyFont="1" applyFill="1" applyBorder="1" applyAlignment="1">
      <alignment horizontal="center" vertical="center" shrinkToFit="1"/>
    </xf>
    <xf numFmtId="41" fontId="48" fillId="34" borderId="0" xfId="1417" applyFont="1" applyFill="1" applyBorder="1" applyAlignment="1">
      <alignment horizontal="center" vertical="center" shrinkToFit="1"/>
    </xf>
    <xf numFmtId="41" fontId="48" fillId="34" borderId="39" xfId="1417" applyFont="1" applyFill="1" applyBorder="1" applyAlignment="1">
      <alignment horizontal="center" vertical="center" shrinkToFit="1"/>
    </xf>
    <xf numFmtId="41" fontId="48" fillId="34" borderId="41" xfId="1417" applyFont="1" applyFill="1" applyBorder="1" applyAlignment="1">
      <alignment horizontal="center" vertical="center" shrinkToFit="1"/>
    </xf>
    <xf numFmtId="41" fontId="48" fillId="34" borderId="5" xfId="1417" applyFont="1" applyFill="1" applyBorder="1" applyAlignment="1">
      <alignment horizontal="center" vertical="center" shrinkToFit="1"/>
    </xf>
    <xf numFmtId="41" fontId="48" fillId="34" borderId="42" xfId="1417" applyFont="1" applyFill="1" applyBorder="1" applyAlignment="1">
      <alignment horizontal="center" vertical="center" shrinkToFit="1"/>
    </xf>
    <xf numFmtId="0" fontId="46" fillId="31" borderId="8" xfId="0" applyFont="1" applyFill="1" applyBorder="1" applyAlignment="1">
      <alignment horizontal="center" vertical="center" shrinkToFit="1"/>
    </xf>
    <xf numFmtId="41" fontId="46" fillId="31" borderId="11" xfId="1434" applyNumberFormat="1" applyFont="1" applyFill="1" applyBorder="1" applyAlignment="1">
      <alignment horizontal="center" vertical="center" shrinkToFit="1"/>
    </xf>
    <xf numFmtId="41" fontId="46" fillId="31" borderId="12" xfId="1434" applyNumberFormat="1" applyFont="1" applyFill="1" applyBorder="1" applyAlignment="1">
      <alignment horizontal="center" vertical="center" shrinkToFit="1"/>
    </xf>
    <xf numFmtId="41" fontId="46" fillId="31" borderId="29" xfId="1434" applyNumberFormat="1" applyFont="1" applyFill="1" applyBorder="1" applyAlignment="1">
      <alignment horizontal="center" vertical="center" shrinkToFit="1"/>
    </xf>
    <xf numFmtId="41" fontId="46" fillId="31" borderId="6" xfId="1434" applyNumberFormat="1" applyFont="1" applyFill="1" applyBorder="1" applyAlignment="1">
      <alignment horizontal="center" vertical="center" shrinkToFit="1"/>
    </xf>
    <xf numFmtId="0" fontId="47" fillId="31" borderId="11" xfId="0" applyFont="1" applyFill="1" applyBorder="1" applyAlignment="1">
      <alignment horizontal="center" vertical="center" shrinkToFit="1"/>
    </xf>
    <xf numFmtId="0" fontId="47" fillId="31" borderId="12" xfId="0" applyFont="1" applyFill="1" applyBorder="1" applyAlignment="1">
      <alignment horizontal="center" vertical="center" shrinkToFit="1"/>
    </xf>
    <xf numFmtId="213" fontId="46" fillId="31" borderId="27" xfId="1417" applyNumberFormat="1" applyFont="1" applyFill="1" applyBorder="1" applyAlignment="1">
      <alignment horizontal="center" vertical="center" shrinkToFit="1"/>
    </xf>
    <xf numFmtId="213" fontId="46" fillId="31" borderId="10" xfId="1417" applyNumberFormat="1" applyFont="1" applyFill="1" applyBorder="1" applyAlignment="1">
      <alignment horizontal="center" vertical="center" shrinkToFit="1"/>
    </xf>
    <xf numFmtId="176" fontId="46" fillId="0" borderId="1" xfId="1434" applyNumberFormat="1" applyFont="1" applyBorder="1" applyAlignment="1">
      <alignment horizontal="center" vertical="center" shrinkToFit="1"/>
    </xf>
    <xf numFmtId="0" fontId="86" fillId="0" borderId="46" xfId="0" applyFont="1" applyBorder="1" applyAlignment="1">
      <alignment horizontal="center" vertical="center" shrinkToFit="1"/>
    </xf>
    <xf numFmtId="0" fontId="86" fillId="0" borderId="48" xfId="0" applyFont="1" applyBorder="1" applyAlignment="1">
      <alignment horizontal="center" vertical="center" shrinkToFit="1"/>
    </xf>
    <xf numFmtId="0" fontId="86" fillId="0" borderId="38" xfId="0" applyFont="1" applyBorder="1" applyAlignment="1">
      <alignment horizontal="center" vertical="center" shrinkToFit="1"/>
    </xf>
    <xf numFmtId="0" fontId="86" fillId="0" borderId="36" xfId="0" applyFont="1" applyBorder="1" applyAlignment="1">
      <alignment horizontal="center" vertical="center" shrinkToFit="1"/>
    </xf>
    <xf numFmtId="41" fontId="86" fillId="30" borderId="47" xfId="1434" applyNumberFormat="1" applyFont="1" applyFill="1" applyBorder="1" applyAlignment="1">
      <alignment horizontal="center" vertical="center" shrinkToFit="1"/>
    </xf>
    <xf numFmtId="0" fontId="91" fillId="32" borderId="12" xfId="0" applyFont="1" applyFill="1" applyBorder="1" applyAlignment="1">
      <alignment horizontal="center" vertical="center" shrinkToFit="1"/>
    </xf>
    <xf numFmtId="0" fontId="91" fillId="32" borderId="30" xfId="0" applyFont="1" applyFill="1" applyBorder="1" applyAlignment="1">
      <alignment horizontal="center" vertical="center" shrinkToFit="1"/>
    </xf>
    <xf numFmtId="176" fontId="46" fillId="0" borderId="6" xfId="1434" applyNumberFormat="1" applyFont="1" applyBorder="1" applyAlignment="1">
      <alignment horizontal="center" vertical="center" shrinkToFit="1"/>
    </xf>
    <xf numFmtId="41" fontId="46" fillId="34" borderId="4" xfId="1417" applyFont="1" applyFill="1" applyBorder="1" applyAlignment="1">
      <alignment horizontal="center" vertical="center" shrinkToFit="1"/>
    </xf>
    <xf numFmtId="0" fontId="46" fillId="31" borderId="29" xfId="0" applyFont="1" applyFill="1" applyBorder="1" applyAlignment="1">
      <alignment horizontal="center" vertical="center" wrapText="1" shrinkToFit="1"/>
    </xf>
    <xf numFmtId="0" fontId="46" fillId="31" borderId="6" xfId="0" applyFont="1" applyFill="1" applyBorder="1" applyAlignment="1">
      <alignment horizontal="center" vertical="center" wrapText="1" shrinkToFit="1"/>
    </xf>
    <xf numFmtId="0" fontId="96" fillId="0" borderId="1" xfId="0" applyFont="1" applyBorder="1" applyAlignment="1">
      <alignment horizontal="center" vertical="center" textRotation="255"/>
    </xf>
    <xf numFmtId="0" fontId="46" fillId="31" borderId="29" xfId="0" applyFont="1" applyFill="1" applyBorder="1" applyAlignment="1">
      <alignment horizontal="center" vertical="center" shrinkToFit="1"/>
    </xf>
    <xf numFmtId="0" fontId="46" fillId="31" borderId="6" xfId="0" applyFont="1" applyFill="1" applyBorder="1" applyAlignment="1">
      <alignment horizontal="center" vertical="center" shrinkToFit="1"/>
    </xf>
    <xf numFmtId="41" fontId="46" fillId="33" borderId="45" xfId="1417" applyFont="1" applyFill="1" applyBorder="1" applyAlignment="1">
      <alignment vertical="center" shrinkToFit="1"/>
    </xf>
    <xf numFmtId="41" fontId="46" fillId="33" borderId="34" xfId="1417" applyFont="1" applyFill="1" applyBorder="1" applyAlignment="1">
      <alignment vertical="center" shrinkToFit="1"/>
    </xf>
    <xf numFmtId="41" fontId="46" fillId="33" borderId="33" xfId="1417" applyFont="1" applyFill="1" applyBorder="1" applyAlignment="1">
      <alignment vertical="center" shrinkToFit="1"/>
    </xf>
    <xf numFmtId="41" fontId="46" fillId="33" borderId="46" xfId="1417" applyFont="1" applyFill="1" applyBorder="1" applyAlignment="1">
      <alignment vertical="center" shrinkToFit="1"/>
    </xf>
    <xf numFmtId="41" fontId="46" fillId="33" borderId="34" xfId="1417" applyFont="1" applyFill="1" applyBorder="1" applyAlignment="1">
      <alignment horizontal="center" vertical="center" shrinkToFit="1"/>
    </xf>
    <xf numFmtId="41" fontId="95" fillId="33" borderId="34" xfId="1418" applyFont="1" applyFill="1" applyBorder="1" applyAlignment="1">
      <alignment horizontal="center" vertical="center" shrinkToFit="1"/>
    </xf>
    <xf numFmtId="41" fontId="95" fillId="33" borderId="34" xfId="1434" applyNumberFormat="1" applyFont="1" applyFill="1" applyBorder="1" applyAlignment="1">
      <alignment horizontal="center" shrinkToFit="1"/>
    </xf>
    <xf numFmtId="41" fontId="95" fillId="33" borderId="35" xfId="1417" applyFont="1" applyFill="1" applyBorder="1" applyAlignment="1">
      <alignment horizontal="center" vertical="center" shrinkToFit="1"/>
    </xf>
    <xf numFmtId="0" fontId="46" fillId="0" borderId="34" xfId="0" applyFont="1" applyFill="1" applyBorder="1" applyAlignment="1">
      <alignment horizontal="center" vertical="center" shrinkToFit="1"/>
    </xf>
    <xf numFmtId="211" fontId="46" fillId="0" borderId="34" xfId="0" applyNumberFormat="1" applyFont="1" applyFill="1" applyBorder="1" applyAlignment="1">
      <alignment horizontal="center" vertical="center" shrinkToFit="1"/>
    </xf>
    <xf numFmtId="41" fontId="95" fillId="0" borderId="34" xfId="1417" applyFont="1" applyFill="1" applyBorder="1" applyAlignment="1">
      <alignment horizontal="center" vertical="center" shrinkToFit="1"/>
    </xf>
    <xf numFmtId="0" fontId="93" fillId="0" borderId="35" xfId="1417" applyNumberFormat="1" applyFont="1" applyFill="1" applyBorder="1" applyAlignment="1">
      <alignment horizontal="center" vertical="center" shrinkToFit="1"/>
    </xf>
    <xf numFmtId="213" fontId="46" fillId="0" borderId="35" xfId="1417" applyNumberFormat="1" applyFont="1" applyFill="1" applyBorder="1" applyAlignment="1">
      <alignment horizontal="center" vertical="center" shrinkToFit="1"/>
    </xf>
    <xf numFmtId="41" fontId="46" fillId="35" borderId="31" xfId="1417" applyFont="1" applyFill="1" applyBorder="1" applyAlignment="1">
      <alignment vertical="center" shrinkToFit="1"/>
    </xf>
    <xf numFmtId="0" fontId="46" fillId="35" borderId="31" xfId="0" applyFont="1" applyFill="1" applyBorder="1" applyAlignment="1">
      <alignment horizontal="center" vertical="center" shrinkToFit="1"/>
    </xf>
    <xf numFmtId="211" fontId="46" fillId="35" borderId="31" xfId="0" applyNumberFormat="1" applyFont="1" applyFill="1" applyBorder="1" applyAlignment="1">
      <alignment horizontal="center" vertical="center" shrinkToFit="1"/>
    </xf>
    <xf numFmtId="41" fontId="46" fillId="35" borderId="31" xfId="1417" applyFont="1" applyFill="1" applyBorder="1" applyAlignment="1">
      <alignment horizontal="center" vertical="center" shrinkToFit="1"/>
    </xf>
    <xf numFmtId="41" fontId="95" fillId="35" borderId="31" xfId="1418" applyFont="1" applyFill="1" applyBorder="1" applyAlignment="1">
      <alignment horizontal="center" vertical="center" shrinkToFit="1"/>
    </xf>
    <xf numFmtId="41" fontId="95" fillId="35" borderId="31" xfId="1434" applyNumberFormat="1" applyFont="1" applyFill="1" applyBorder="1" applyAlignment="1">
      <alignment horizontal="center" shrinkToFit="1"/>
    </xf>
    <xf numFmtId="41" fontId="95" fillId="35" borderId="31" xfId="1417" applyFont="1" applyFill="1" applyBorder="1" applyAlignment="1">
      <alignment horizontal="center" vertical="center" shrinkToFit="1"/>
    </xf>
    <xf numFmtId="0" fontId="93" fillId="35" borderId="32" xfId="1417" applyNumberFormat="1" applyFont="1" applyFill="1" applyBorder="1" applyAlignment="1">
      <alignment horizontal="center" vertical="center" shrinkToFit="1"/>
    </xf>
    <xf numFmtId="213" fontId="46" fillId="35" borderId="32" xfId="1417" applyNumberFormat="1" applyFont="1" applyFill="1" applyBorder="1" applyAlignment="1">
      <alignment horizontal="center" vertical="center" shrinkToFit="1"/>
    </xf>
  </cellXfs>
  <cellStyles count="2398">
    <cellStyle name="#,##0" xfId="1" xr:uid="{00000000-0005-0000-0000-000000000000}"/>
    <cellStyle name="%(+,-,0)" xfId="2" xr:uid="{00000000-0005-0000-0000-000001000000}"/>
    <cellStyle name="(##.00)" xfId="3" xr:uid="{00000000-0005-0000-0000-000002000000}"/>
    <cellStyle name="(△콤마)" xfId="4" xr:uid="{00000000-0005-0000-0000-000003000000}"/>
    <cellStyle name="(백분율)" xfId="5" xr:uid="{00000000-0005-0000-0000-000004000000}"/>
    <cellStyle name="(콤마)" xfId="6" xr:uid="{00000000-0005-0000-0000-000005000000}"/>
    <cellStyle name="??_x000c_둄_x001b__x000d_|?_x0001_?_x0003__x0014__x0007__x0001__x0001_" xfId="7" xr:uid="{00000000-0005-0000-0000-000006000000}"/>
    <cellStyle name="??&amp;O?&amp;H?_x0008__x000f__x0007_?_x0007__x0001__x0001_" xfId="8" xr:uid="{00000000-0005-0000-0000-000007000000}"/>
    <cellStyle name="??&amp;O?&amp;H?_x0008_??_x0007__x0001__x0001_" xfId="9" xr:uid="{00000000-0005-0000-0000-000008000000}"/>
    <cellStyle name="?W?_laroux" xfId="10" xr:uid="{00000000-0005-0000-0000-000009000000}"/>
    <cellStyle name="?曹%U?&amp;H?_x0008_?s_x000a__x0007__x0001__x0001_" xfId="11" xr:uid="{00000000-0005-0000-0000-00000A000000}"/>
    <cellStyle name="_0106-06-007 금속 및 수장공사 단가견적- 대림" xfId="12" xr:uid="{00000000-0005-0000-0000-00000B000000}"/>
    <cellStyle name="_X" xfId="13" xr:uid="{00000000-0005-0000-0000-00000C000000}"/>
    <cellStyle name="_강남교회-설비(06.05.18)" xfId="14" xr:uid="{00000000-0005-0000-0000-00000D000000}"/>
    <cellStyle name="_말씀교회내역(서희)원가팀송부(주방제외)" xfId="15" xr:uid="{00000000-0005-0000-0000-00000E000000}"/>
    <cellStyle name="_말씀교회내역설비" xfId="16" xr:uid="{00000000-0005-0000-0000-00000F000000}"/>
    <cellStyle name="_말씀교회-설비5%" xfId="17" xr:uid="{00000000-0005-0000-0000-000010000000}"/>
    <cellStyle name="_인원계획표 " xfId="18" xr:uid="{00000000-0005-0000-0000-000011000000}"/>
    <cellStyle name="_인테리어-예일" xfId="19" xr:uid="{00000000-0005-0000-0000-000012000000}"/>
    <cellStyle name="_입찰표지 " xfId="20" xr:uid="{00000000-0005-0000-0000-000013000000}"/>
    <cellStyle name="_적격(화산) " xfId="21" xr:uid="{00000000-0005-0000-0000-000014000000}"/>
    <cellStyle name="¡¾¨u￠￢ⓒ÷A¨u," xfId="22" xr:uid="{00000000-0005-0000-0000-000015000000}"/>
    <cellStyle name="’E‰Y [0.00]_laroux" xfId="23" xr:uid="{00000000-0005-0000-0000-000016000000}"/>
    <cellStyle name="’E‰Y_laroux" xfId="24" xr:uid="{00000000-0005-0000-0000-000017000000}"/>
    <cellStyle name="+,-,0" xfId="25" xr:uid="{00000000-0005-0000-0000-000018000000}"/>
    <cellStyle name="△ []" xfId="26" xr:uid="{00000000-0005-0000-0000-000019000000}"/>
    <cellStyle name="△ [0]" xfId="27" xr:uid="{00000000-0005-0000-0000-00001A000000}"/>
    <cellStyle name="△백분율" xfId="28" xr:uid="{00000000-0005-0000-0000-00001B000000}"/>
    <cellStyle name="△콤마" xfId="29" xr:uid="{00000000-0005-0000-0000-00001C000000}"/>
    <cellStyle name="0.0" xfId="30" xr:uid="{00000000-0005-0000-0000-00001D000000}"/>
    <cellStyle name="0.00" xfId="31" xr:uid="{00000000-0005-0000-0000-00001E000000}"/>
    <cellStyle name="00" xfId="32" xr:uid="{00000000-0005-0000-0000-00001F000000}"/>
    <cellStyle name="1" xfId="33" xr:uid="{00000000-0005-0000-0000-000020000000}"/>
    <cellStyle name="1_total" xfId="34" xr:uid="{00000000-0005-0000-0000-000021000000}"/>
    <cellStyle name="1_total_1-대구상인-7층-031001" xfId="35" xr:uid="{00000000-0005-0000-0000-000022000000}"/>
    <cellStyle name="1_total_Sheet1" xfId="36" xr:uid="{00000000-0005-0000-0000-000023000000}"/>
    <cellStyle name="1_total_Sheet1_00갑지" xfId="37" xr:uid="{00000000-0005-0000-0000-000024000000}"/>
    <cellStyle name="1_total_Sheet1_00갑지_1-대구상인-7층-031001" xfId="38" xr:uid="{00000000-0005-0000-0000-000025000000}"/>
    <cellStyle name="1_total_Sheet1_00갑지_백화점화장실인테리어" xfId="39" xr:uid="{00000000-0005-0000-0000-000026000000}"/>
    <cellStyle name="1_total_Sheet1_00갑지_백화점화장실인테리어_1-대구상인-7층-031001" xfId="40" xr:uid="{00000000-0005-0000-0000-000027000000}"/>
    <cellStyle name="1_total_Sheet1_00갑지_설계내역서" xfId="41" xr:uid="{00000000-0005-0000-0000-000028000000}"/>
    <cellStyle name="1_total_Sheet1_00갑지_설계내역서_1-대구상인-7층-031001" xfId="42" xr:uid="{00000000-0005-0000-0000-000029000000}"/>
    <cellStyle name="1_total_Sheet1_00갑지_설계내역서_백화점화장실인테리어" xfId="43" xr:uid="{00000000-0005-0000-0000-00002A000000}"/>
    <cellStyle name="1_total_Sheet1_00갑지_설계내역서_백화점화장실인테리어_1-대구상인-7층-031001" xfId="44" xr:uid="{00000000-0005-0000-0000-00002B000000}"/>
    <cellStyle name="1_total_Sheet1_00갑지_설계내역서_울산FITNESS인테리어" xfId="45" xr:uid="{00000000-0005-0000-0000-00002C000000}"/>
    <cellStyle name="1_total_Sheet1_00갑지_설계내역서_울산FITNESS인테리어_1-대구상인-7층-031001" xfId="46" xr:uid="{00000000-0005-0000-0000-00002D000000}"/>
    <cellStyle name="1_total_Sheet1_00갑지_설계내역서_화명조경" xfId="47" xr:uid="{00000000-0005-0000-0000-00002E000000}"/>
    <cellStyle name="1_total_Sheet1_00갑지_설계내역서_화명조경_1-대구상인-7층-031001" xfId="48" xr:uid="{00000000-0005-0000-0000-00002F000000}"/>
    <cellStyle name="1_total_Sheet1_00갑지_설계내역서_화명조경_백화점화장실인테리어" xfId="49" xr:uid="{00000000-0005-0000-0000-000030000000}"/>
    <cellStyle name="1_total_Sheet1_00갑지_설계내역서_화명조경_백화점화장실인테리어_1-대구상인-7층-031001" xfId="50" xr:uid="{00000000-0005-0000-0000-000031000000}"/>
    <cellStyle name="1_total_Sheet1_00갑지_설계내역서_화명조경_울산FITNESS인테리어" xfId="51" xr:uid="{00000000-0005-0000-0000-000032000000}"/>
    <cellStyle name="1_total_Sheet1_00갑지_설계내역서_화명조경_울산FITNESS인테리어_1-대구상인-7층-031001" xfId="52" xr:uid="{00000000-0005-0000-0000-000033000000}"/>
    <cellStyle name="1_total_Sheet1_00갑지_설계내역서1월7일" xfId="53" xr:uid="{00000000-0005-0000-0000-000034000000}"/>
    <cellStyle name="1_total_Sheet1_00갑지_설계내역서1월7일_1-대구상인-7층-031001" xfId="54" xr:uid="{00000000-0005-0000-0000-000035000000}"/>
    <cellStyle name="1_total_Sheet1_00갑지_설계내역서1월7일_백화점화장실인테리어" xfId="55" xr:uid="{00000000-0005-0000-0000-000036000000}"/>
    <cellStyle name="1_total_Sheet1_00갑지_설계내역서1월7일_백화점화장실인테리어_1-대구상인-7층-031001" xfId="56" xr:uid="{00000000-0005-0000-0000-000037000000}"/>
    <cellStyle name="1_total_Sheet1_00갑지_설계내역서1월7일_울산FITNESS인테리어" xfId="57" xr:uid="{00000000-0005-0000-0000-000038000000}"/>
    <cellStyle name="1_total_Sheet1_00갑지_설계내역서1월7일_울산FITNESS인테리어_1-대구상인-7층-031001" xfId="58" xr:uid="{00000000-0005-0000-0000-000039000000}"/>
    <cellStyle name="1_total_Sheet1_00갑지_설계내역서1월7일_화명조경" xfId="59" xr:uid="{00000000-0005-0000-0000-00003A000000}"/>
    <cellStyle name="1_total_Sheet1_00갑지_설계내역서1월7일_화명조경_1-대구상인-7층-031001" xfId="60" xr:uid="{00000000-0005-0000-0000-00003B000000}"/>
    <cellStyle name="1_total_Sheet1_00갑지_설계내역서1월7일_화명조경_백화점화장실인테리어" xfId="61" xr:uid="{00000000-0005-0000-0000-00003C000000}"/>
    <cellStyle name="1_total_Sheet1_00갑지_설계내역서1월7일_화명조경_백화점화장실인테리어_1-대구상인-7층-031001" xfId="62" xr:uid="{00000000-0005-0000-0000-00003D000000}"/>
    <cellStyle name="1_total_Sheet1_00갑지_설계내역서1월7일_화명조경_울산FITNESS인테리어" xfId="63" xr:uid="{00000000-0005-0000-0000-00003E000000}"/>
    <cellStyle name="1_total_Sheet1_00갑지_설계내역서1월7일_화명조경_울산FITNESS인테리어_1-대구상인-7층-031001" xfId="64" xr:uid="{00000000-0005-0000-0000-00003F000000}"/>
    <cellStyle name="1_total_Sheet1_00갑지_울산FITNESS인테리어" xfId="65" xr:uid="{00000000-0005-0000-0000-000040000000}"/>
    <cellStyle name="1_total_Sheet1_00갑지_울산FITNESS인테리어_1-대구상인-7층-031001" xfId="66" xr:uid="{00000000-0005-0000-0000-000041000000}"/>
    <cellStyle name="1_total_Sheet1_00갑지_화명조경" xfId="67" xr:uid="{00000000-0005-0000-0000-000042000000}"/>
    <cellStyle name="1_total_Sheet1_00갑지_화명조경_1-대구상인-7층-031001" xfId="68" xr:uid="{00000000-0005-0000-0000-000043000000}"/>
    <cellStyle name="1_total_Sheet1_00갑지_화명조경_백화점화장실인테리어" xfId="69" xr:uid="{00000000-0005-0000-0000-000044000000}"/>
    <cellStyle name="1_total_Sheet1_00갑지_화명조경_백화점화장실인테리어_1-대구상인-7층-031001" xfId="70" xr:uid="{00000000-0005-0000-0000-000045000000}"/>
    <cellStyle name="1_total_Sheet1_00갑지_화명조경_울산FITNESS인테리어" xfId="71" xr:uid="{00000000-0005-0000-0000-000046000000}"/>
    <cellStyle name="1_total_Sheet1_00갑지_화명조경_울산FITNESS인테리어_1-대구상인-7층-031001" xfId="72" xr:uid="{00000000-0005-0000-0000-000047000000}"/>
    <cellStyle name="1_total_Sheet1_1-대구상인-7층-031001" xfId="73" xr:uid="{00000000-0005-0000-0000-000048000000}"/>
    <cellStyle name="1_total_Sheet1_과천놀이터설계서" xfId="74" xr:uid="{00000000-0005-0000-0000-000049000000}"/>
    <cellStyle name="1_total_Sheet1_과천놀이터설계서_1-대구상인-7층-031001" xfId="75" xr:uid="{00000000-0005-0000-0000-00004A000000}"/>
    <cellStyle name="1_total_Sheet1_과천놀이터설계서_백화점화장실인테리어" xfId="76" xr:uid="{00000000-0005-0000-0000-00004B000000}"/>
    <cellStyle name="1_total_Sheet1_과천놀이터설계서_백화점화장실인테리어_1-대구상인-7층-031001" xfId="77" xr:uid="{00000000-0005-0000-0000-00004C000000}"/>
    <cellStyle name="1_total_Sheet1_과천놀이터설계서_설계내역서" xfId="78" xr:uid="{00000000-0005-0000-0000-00004D000000}"/>
    <cellStyle name="1_total_Sheet1_과천놀이터설계서_설계내역서_1-대구상인-7층-031001" xfId="79" xr:uid="{00000000-0005-0000-0000-00004E000000}"/>
    <cellStyle name="1_total_Sheet1_과천놀이터설계서_설계내역서_백화점화장실인테리어" xfId="80" xr:uid="{00000000-0005-0000-0000-00004F000000}"/>
    <cellStyle name="1_total_Sheet1_과천놀이터설계서_설계내역서_백화점화장실인테리어_1-대구상인-7층-031001" xfId="81" xr:uid="{00000000-0005-0000-0000-000050000000}"/>
    <cellStyle name="1_total_Sheet1_과천놀이터설계서_설계내역서_울산FITNESS인테리어" xfId="82" xr:uid="{00000000-0005-0000-0000-000051000000}"/>
    <cellStyle name="1_total_Sheet1_과천놀이터설계서_설계내역서_울산FITNESS인테리어_1-대구상인-7층-031001" xfId="83" xr:uid="{00000000-0005-0000-0000-000052000000}"/>
    <cellStyle name="1_total_Sheet1_과천놀이터설계서_설계내역서_화명조경" xfId="84" xr:uid="{00000000-0005-0000-0000-000053000000}"/>
    <cellStyle name="1_total_Sheet1_과천놀이터설계서_설계내역서_화명조경_1-대구상인-7층-031001" xfId="85" xr:uid="{00000000-0005-0000-0000-000054000000}"/>
    <cellStyle name="1_total_Sheet1_과천놀이터설계서_설계내역서_화명조경_백화점화장실인테리어" xfId="86" xr:uid="{00000000-0005-0000-0000-000055000000}"/>
    <cellStyle name="1_total_Sheet1_과천놀이터설계서_설계내역서_화명조경_백화점화장실인테리어_1-대구상인-7층-031001" xfId="87" xr:uid="{00000000-0005-0000-0000-000056000000}"/>
    <cellStyle name="1_total_Sheet1_과천놀이터설계서_설계내역서_화명조경_울산FITNESS인테리어" xfId="88" xr:uid="{00000000-0005-0000-0000-000057000000}"/>
    <cellStyle name="1_total_Sheet1_과천놀이터설계서_설계내역서_화명조경_울산FITNESS인테리어_1-대구상인-7층-031001" xfId="89" xr:uid="{00000000-0005-0000-0000-000058000000}"/>
    <cellStyle name="1_total_Sheet1_과천놀이터설계서_설계내역서1월7일" xfId="90" xr:uid="{00000000-0005-0000-0000-000059000000}"/>
    <cellStyle name="1_total_Sheet1_과천놀이터설계서_설계내역서1월7일_1-대구상인-7층-031001" xfId="91" xr:uid="{00000000-0005-0000-0000-00005A000000}"/>
    <cellStyle name="1_total_Sheet1_과천놀이터설계서_설계내역서1월7일_백화점화장실인테리어" xfId="92" xr:uid="{00000000-0005-0000-0000-00005B000000}"/>
    <cellStyle name="1_total_Sheet1_과천놀이터설계서_설계내역서1월7일_백화점화장실인테리어_1-대구상인-7층-031001" xfId="93" xr:uid="{00000000-0005-0000-0000-00005C000000}"/>
    <cellStyle name="1_total_Sheet1_과천놀이터설계서_설계내역서1월7일_울산FITNESS인테리어" xfId="94" xr:uid="{00000000-0005-0000-0000-00005D000000}"/>
    <cellStyle name="1_total_Sheet1_과천놀이터설계서_설계내역서1월7일_울산FITNESS인테리어_1-대구상인-7층-031001" xfId="95" xr:uid="{00000000-0005-0000-0000-00005E000000}"/>
    <cellStyle name="1_total_Sheet1_과천놀이터설계서_설계내역서1월7일_화명조경" xfId="96" xr:uid="{00000000-0005-0000-0000-00005F000000}"/>
    <cellStyle name="1_total_Sheet1_과천놀이터설계서_설계내역서1월7일_화명조경_1-대구상인-7층-031001" xfId="97" xr:uid="{00000000-0005-0000-0000-000060000000}"/>
    <cellStyle name="1_total_Sheet1_과천놀이터설계서_설계내역서1월7일_화명조경_백화점화장실인테리어" xfId="98" xr:uid="{00000000-0005-0000-0000-000061000000}"/>
    <cellStyle name="1_total_Sheet1_과천놀이터설계서_설계내역서1월7일_화명조경_백화점화장실인테리어_1-대구상인-7층-031001" xfId="99" xr:uid="{00000000-0005-0000-0000-000062000000}"/>
    <cellStyle name="1_total_Sheet1_과천놀이터설계서_설계내역서1월7일_화명조경_울산FITNESS인테리어" xfId="100" xr:uid="{00000000-0005-0000-0000-000063000000}"/>
    <cellStyle name="1_total_Sheet1_과천놀이터설계서_설계내역서1월7일_화명조경_울산FITNESS인테리어_1-대구상인-7층-031001" xfId="101" xr:uid="{00000000-0005-0000-0000-000064000000}"/>
    <cellStyle name="1_total_Sheet1_과천놀이터설계서_울산FITNESS인테리어" xfId="102" xr:uid="{00000000-0005-0000-0000-000065000000}"/>
    <cellStyle name="1_total_Sheet1_과천놀이터설계서_울산FITNESS인테리어_1-대구상인-7층-031001" xfId="103" xr:uid="{00000000-0005-0000-0000-000066000000}"/>
    <cellStyle name="1_total_Sheet1_과천놀이터설계서_화명조경" xfId="104" xr:uid="{00000000-0005-0000-0000-000067000000}"/>
    <cellStyle name="1_total_Sheet1_과천놀이터설계서_화명조경_1-대구상인-7층-031001" xfId="105" xr:uid="{00000000-0005-0000-0000-000068000000}"/>
    <cellStyle name="1_total_Sheet1_과천놀이터설계서_화명조경_백화점화장실인테리어" xfId="106" xr:uid="{00000000-0005-0000-0000-000069000000}"/>
    <cellStyle name="1_total_Sheet1_과천놀이터설계서_화명조경_백화점화장실인테리어_1-대구상인-7층-031001" xfId="107" xr:uid="{00000000-0005-0000-0000-00006A000000}"/>
    <cellStyle name="1_total_Sheet1_과천놀이터설계서_화명조경_울산FITNESS인테리어" xfId="108" xr:uid="{00000000-0005-0000-0000-00006B000000}"/>
    <cellStyle name="1_total_Sheet1_과천놀이터설계서_화명조경_울산FITNESS인테리어_1-대구상인-7층-031001" xfId="109" xr:uid="{00000000-0005-0000-0000-00006C000000}"/>
    <cellStyle name="1_total_Sheet1_백화점화장실인테리어" xfId="110" xr:uid="{00000000-0005-0000-0000-00006D000000}"/>
    <cellStyle name="1_total_Sheet1_백화점화장실인테리어_1-대구상인-7층-031001" xfId="111" xr:uid="{00000000-0005-0000-0000-00006E000000}"/>
    <cellStyle name="1_total_Sheet1_울산FITNESS인테리어" xfId="112" xr:uid="{00000000-0005-0000-0000-00006F000000}"/>
    <cellStyle name="1_total_Sheet1_울산FITNESS인테리어_1-대구상인-7층-031001" xfId="113" xr:uid="{00000000-0005-0000-0000-000070000000}"/>
    <cellStyle name="1_total_Sheet1_총괄갑지" xfId="114" xr:uid="{00000000-0005-0000-0000-000071000000}"/>
    <cellStyle name="1_total_Sheet1_총괄갑지_1-대구상인-7층-031001" xfId="115" xr:uid="{00000000-0005-0000-0000-000072000000}"/>
    <cellStyle name="1_total_Sheet1_총괄갑지_백화점화장실인테리어" xfId="116" xr:uid="{00000000-0005-0000-0000-000073000000}"/>
    <cellStyle name="1_total_Sheet1_총괄갑지_백화점화장실인테리어_1-대구상인-7층-031001" xfId="117" xr:uid="{00000000-0005-0000-0000-000074000000}"/>
    <cellStyle name="1_total_Sheet1_총괄갑지_설계내역서" xfId="118" xr:uid="{00000000-0005-0000-0000-000075000000}"/>
    <cellStyle name="1_total_Sheet1_총괄갑지_설계내역서_1-대구상인-7층-031001" xfId="119" xr:uid="{00000000-0005-0000-0000-000076000000}"/>
    <cellStyle name="1_total_Sheet1_총괄갑지_설계내역서_백화점화장실인테리어" xfId="120" xr:uid="{00000000-0005-0000-0000-000077000000}"/>
    <cellStyle name="1_total_Sheet1_총괄갑지_설계내역서_백화점화장실인테리어_1-대구상인-7층-031001" xfId="121" xr:uid="{00000000-0005-0000-0000-000078000000}"/>
    <cellStyle name="1_total_Sheet1_총괄갑지_설계내역서_울산FITNESS인테리어" xfId="122" xr:uid="{00000000-0005-0000-0000-000079000000}"/>
    <cellStyle name="1_total_Sheet1_총괄갑지_설계내역서_울산FITNESS인테리어_1-대구상인-7층-031001" xfId="123" xr:uid="{00000000-0005-0000-0000-00007A000000}"/>
    <cellStyle name="1_total_Sheet1_총괄갑지_설계내역서_화명조경" xfId="124" xr:uid="{00000000-0005-0000-0000-00007B000000}"/>
    <cellStyle name="1_total_Sheet1_총괄갑지_설계내역서_화명조경_1-대구상인-7층-031001" xfId="125" xr:uid="{00000000-0005-0000-0000-00007C000000}"/>
    <cellStyle name="1_total_Sheet1_총괄갑지_설계내역서_화명조경_백화점화장실인테리어" xfId="126" xr:uid="{00000000-0005-0000-0000-00007D000000}"/>
    <cellStyle name="1_total_Sheet1_총괄갑지_설계내역서_화명조경_백화점화장실인테리어_1-대구상인-7층-031001" xfId="127" xr:uid="{00000000-0005-0000-0000-00007E000000}"/>
    <cellStyle name="1_total_Sheet1_총괄갑지_설계내역서_화명조경_울산FITNESS인테리어" xfId="128" xr:uid="{00000000-0005-0000-0000-00007F000000}"/>
    <cellStyle name="1_total_Sheet1_총괄갑지_설계내역서_화명조경_울산FITNESS인테리어_1-대구상인-7층-031001" xfId="129" xr:uid="{00000000-0005-0000-0000-000080000000}"/>
    <cellStyle name="1_total_Sheet1_총괄갑지_설계내역서1월7일" xfId="130" xr:uid="{00000000-0005-0000-0000-000081000000}"/>
    <cellStyle name="1_total_Sheet1_총괄갑지_설계내역서1월7일_1-대구상인-7층-031001" xfId="131" xr:uid="{00000000-0005-0000-0000-000082000000}"/>
    <cellStyle name="1_total_Sheet1_총괄갑지_설계내역서1월7일_백화점화장실인테리어" xfId="132" xr:uid="{00000000-0005-0000-0000-000083000000}"/>
    <cellStyle name="1_total_Sheet1_총괄갑지_설계내역서1월7일_백화점화장실인테리어_1-대구상인-7층-031001" xfId="133" xr:uid="{00000000-0005-0000-0000-000084000000}"/>
    <cellStyle name="1_total_Sheet1_총괄갑지_설계내역서1월7일_울산FITNESS인테리어" xfId="134" xr:uid="{00000000-0005-0000-0000-000085000000}"/>
    <cellStyle name="1_total_Sheet1_총괄갑지_설계내역서1월7일_울산FITNESS인테리어_1-대구상인-7층-031001" xfId="135" xr:uid="{00000000-0005-0000-0000-000086000000}"/>
    <cellStyle name="1_total_Sheet1_총괄갑지_설계내역서1월7일_화명조경" xfId="136" xr:uid="{00000000-0005-0000-0000-000087000000}"/>
    <cellStyle name="1_total_Sheet1_총괄갑지_설계내역서1월7일_화명조경_1-대구상인-7층-031001" xfId="137" xr:uid="{00000000-0005-0000-0000-000088000000}"/>
    <cellStyle name="1_total_Sheet1_총괄갑지_설계내역서1월7일_화명조경_백화점화장실인테리어" xfId="138" xr:uid="{00000000-0005-0000-0000-000089000000}"/>
    <cellStyle name="1_total_Sheet1_총괄갑지_설계내역서1월7일_화명조경_백화점화장실인테리어_1-대구상인-7층-031001" xfId="139" xr:uid="{00000000-0005-0000-0000-00008A000000}"/>
    <cellStyle name="1_total_Sheet1_총괄갑지_설계내역서1월7일_화명조경_울산FITNESS인테리어" xfId="140" xr:uid="{00000000-0005-0000-0000-00008B000000}"/>
    <cellStyle name="1_total_Sheet1_총괄갑지_설계내역서1월7일_화명조경_울산FITNESS인테리어_1-대구상인-7층-031001" xfId="141" xr:uid="{00000000-0005-0000-0000-00008C000000}"/>
    <cellStyle name="1_total_Sheet1_총괄갑지_울산FITNESS인테리어" xfId="142" xr:uid="{00000000-0005-0000-0000-00008D000000}"/>
    <cellStyle name="1_total_Sheet1_총괄갑지_울산FITNESS인테리어_1-대구상인-7층-031001" xfId="143" xr:uid="{00000000-0005-0000-0000-00008E000000}"/>
    <cellStyle name="1_total_Sheet1_총괄갑지_화명조경" xfId="144" xr:uid="{00000000-0005-0000-0000-00008F000000}"/>
    <cellStyle name="1_total_Sheet1_총괄갑지_화명조경_1-대구상인-7층-031001" xfId="145" xr:uid="{00000000-0005-0000-0000-000090000000}"/>
    <cellStyle name="1_total_Sheet1_총괄갑지_화명조경_백화점화장실인테리어" xfId="146" xr:uid="{00000000-0005-0000-0000-000091000000}"/>
    <cellStyle name="1_total_Sheet1_총괄갑지_화명조경_백화점화장실인테리어_1-대구상인-7층-031001" xfId="147" xr:uid="{00000000-0005-0000-0000-000092000000}"/>
    <cellStyle name="1_total_Sheet1_총괄갑지_화명조경_울산FITNESS인테리어" xfId="148" xr:uid="{00000000-0005-0000-0000-000093000000}"/>
    <cellStyle name="1_total_Sheet1_총괄갑지_화명조경_울산FITNESS인테리어_1-대구상인-7층-031001" xfId="149" xr:uid="{00000000-0005-0000-0000-000094000000}"/>
    <cellStyle name="1_total_Sheet1_총괄내역서" xfId="150" xr:uid="{00000000-0005-0000-0000-000095000000}"/>
    <cellStyle name="1_total_Sheet1_총괄내역서_1-대구상인-7층-031001" xfId="151" xr:uid="{00000000-0005-0000-0000-000096000000}"/>
    <cellStyle name="1_total_Sheet1_총괄내역서_백화점화장실인테리어" xfId="152" xr:uid="{00000000-0005-0000-0000-000097000000}"/>
    <cellStyle name="1_total_Sheet1_총괄내역서_백화점화장실인테리어_1-대구상인-7층-031001" xfId="153" xr:uid="{00000000-0005-0000-0000-000098000000}"/>
    <cellStyle name="1_total_Sheet1_총괄내역서_설계내역서" xfId="154" xr:uid="{00000000-0005-0000-0000-000099000000}"/>
    <cellStyle name="1_total_Sheet1_총괄내역서_설계내역서_1-대구상인-7층-031001" xfId="155" xr:uid="{00000000-0005-0000-0000-00009A000000}"/>
    <cellStyle name="1_total_Sheet1_총괄내역서_설계내역서_백화점화장실인테리어" xfId="156" xr:uid="{00000000-0005-0000-0000-00009B000000}"/>
    <cellStyle name="1_total_Sheet1_총괄내역서_설계내역서_백화점화장실인테리어_1-대구상인-7층-031001" xfId="157" xr:uid="{00000000-0005-0000-0000-00009C000000}"/>
    <cellStyle name="1_total_Sheet1_총괄내역서_설계내역서_울산FITNESS인테리어" xfId="158" xr:uid="{00000000-0005-0000-0000-00009D000000}"/>
    <cellStyle name="1_total_Sheet1_총괄내역서_설계내역서_울산FITNESS인테리어_1-대구상인-7층-031001" xfId="159" xr:uid="{00000000-0005-0000-0000-00009E000000}"/>
    <cellStyle name="1_total_Sheet1_총괄내역서_설계내역서_화명조경" xfId="160" xr:uid="{00000000-0005-0000-0000-00009F000000}"/>
    <cellStyle name="1_total_Sheet1_총괄내역서_설계내역서_화명조경_1-대구상인-7층-031001" xfId="161" xr:uid="{00000000-0005-0000-0000-0000A0000000}"/>
    <cellStyle name="1_total_Sheet1_총괄내역서_설계내역서_화명조경_백화점화장실인테리어" xfId="162" xr:uid="{00000000-0005-0000-0000-0000A1000000}"/>
    <cellStyle name="1_total_Sheet1_총괄내역서_설계내역서_화명조경_백화점화장실인테리어_1-대구상인-7층-031001" xfId="163" xr:uid="{00000000-0005-0000-0000-0000A2000000}"/>
    <cellStyle name="1_total_Sheet1_총괄내역서_설계내역서_화명조경_울산FITNESS인테리어" xfId="164" xr:uid="{00000000-0005-0000-0000-0000A3000000}"/>
    <cellStyle name="1_total_Sheet1_총괄내역서_설계내역서_화명조경_울산FITNESS인테리어_1-대구상인-7층-031001" xfId="165" xr:uid="{00000000-0005-0000-0000-0000A4000000}"/>
    <cellStyle name="1_total_Sheet1_총괄내역서_설계내역서1월7일" xfId="166" xr:uid="{00000000-0005-0000-0000-0000A5000000}"/>
    <cellStyle name="1_total_Sheet1_총괄내역서_설계내역서1월7일_1-대구상인-7층-031001" xfId="167" xr:uid="{00000000-0005-0000-0000-0000A6000000}"/>
    <cellStyle name="1_total_Sheet1_총괄내역서_설계내역서1월7일_백화점화장실인테리어" xfId="168" xr:uid="{00000000-0005-0000-0000-0000A7000000}"/>
    <cellStyle name="1_total_Sheet1_총괄내역서_설계내역서1월7일_백화점화장실인테리어_1-대구상인-7층-031001" xfId="169" xr:uid="{00000000-0005-0000-0000-0000A8000000}"/>
    <cellStyle name="1_total_Sheet1_총괄내역서_설계내역서1월7일_울산FITNESS인테리어" xfId="170" xr:uid="{00000000-0005-0000-0000-0000A9000000}"/>
    <cellStyle name="1_total_Sheet1_총괄내역서_설계내역서1월7일_울산FITNESS인테리어_1-대구상인-7층-031001" xfId="171" xr:uid="{00000000-0005-0000-0000-0000AA000000}"/>
    <cellStyle name="1_total_Sheet1_총괄내역서_설계내역서1월7일_화명조경" xfId="172" xr:uid="{00000000-0005-0000-0000-0000AB000000}"/>
    <cellStyle name="1_total_Sheet1_총괄내역서_설계내역서1월7일_화명조경_1-대구상인-7층-031001" xfId="173" xr:uid="{00000000-0005-0000-0000-0000AC000000}"/>
    <cellStyle name="1_total_Sheet1_총괄내역서_설계내역서1월7일_화명조경_백화점화장실인테리어" xfId="174" xr:uid="{00000000-0005-0000-0000-0000AD000000}"/>
    <cellStyle name="1_total_Sheet1_총괄내역서_설계내역서1월7일_화명조경_백화점화장실인테리어_1-대구상인-7층-031001" xfId="175" xr:uid="{00000000-0005-0000-0000-0000AE000000}"/>
    <cellStyle name="1_total_Sheet1_총괄내역서_설계내역서1월7일_화명조경_울산FITNESS인테리어" xfId="176" xr:uid="{00000000-0005-0000-0000-0000AF000000}"/>
    <cellStyle name="1_total_Sheet1_총괄내역서_설계내역서1월7일_화명조경_울산FITNESS인테리어_1-대구상인-7층-031001" xfId="177" xr:uid="{00000000-0005-0000-0000-0000B0000000}"/>
    <cellStyle name="1_total_Sheet1_총괄내역서_울산FITNESS인테리어" xfId="178" xr:uid="{00000000-0005-0000-0000-0000B1000000}"/>
    <cellStyle name="1_total_Sheet1_총괄내역서_울산FITNESS인테리어_1-대구상인-7층-031001" xfId="179" xr:uid="{00000000-0005-0000-0000-0000B2000000}"/>
    <cellStyle name="1_total_Sheet1_총괄내역서_화명조경" xfId="180" xr:uid="{00000000-0005-0000-0000-0000B3000000}"/>
    <cellStyle name="1_total_Sheet1_총괄내역서_화명조경_1-대구상인-7층-031001" xfId="181" xr:uid="{00000000-0005-0000-0000-0000B4000000}"/>
    <cellStyle name="1_total_Sheet1_총괄내역서_화명조경_백화점화장실인테리어" xfId="182" xr:uid="{00000000-0005-0000-0000-0000B5000000}"/>
    <cellStyle name="1_total_Sheet1_총괄내역서_화명조경_백화점화장실인테리어_1-대구상인-7층-031001" xfId="183" xr:uid="{00000000-0005-0000-0000-0000B6000000}"/>
    <cellStyle name="1_total_Sheet1_총괄내역서_화명조경_울산FITNESS인테리어" xfId="184" xr:uid="{00000000-0005-0000-0000-0000B7000000}"/>
    <cellStyle name="1_total_Sheet1_총괄내역서_화명조경_울산FITNESS인테리어_1-대구상인-7층-031001" xfId="185" xr:uid="{00000000-0005-0000-0000-0000B8000000}"/>
    <cellStyle name="1_total_Sheet1_화명조경" xfId="186" xr:uid="{00000000-0005-0000-0000-0000B9000000}"/>
    <cellStyle name="1_total_Sheet1_화명조경_1-대구상인-7층-031001" xfId="187" xr:uid="{00000000-0005-0000-0000-0000BA000000}"/>
    <cellStyle name="1_total_Sheet1_화명조경_백화점화장실인테리어" xfId="188" xr:uid="{00000000-0005-0000-0000-0000BB000000}"/>
    <cellStyle name="1_total_Sheet1_화명조경_백화점화장실인테리어_1-대구상인-7층-031001" xfId="189" xr:uid="{00000000-0005-0000-0000-0000BC000000}"/>
    <cellStyle name="1_total_Sheet1_화명조경_울산FITNESS인테리어" xfId="190" xr:uid="{00000000-0005-0000-0000-0000BD000000}"/>
    <cellStyle name="1_total_Sheet1_화명조경_울산FITNESS인테리어_1-대구상인-7층-031001" xfId="191" xr:uid="{00000000-0005-0000-0000-0000BE000000}"/>
    <cellStyle name="1_total_갑지0601" xfId="192" xr:uid="{00000000-0005-0000-0000-0000BF000000}"/>
    <cellStyle name="1_total_갑지0601_00갑지" xfId="193" xr:uid="{00000000-0005-0000-0000-0000C0000000}"/>
    <cellStyle name="1_total_갑지0601_00갑지_1-대구상인-7층-031001" xfId="194" xr:uid="{00000000-0005-0000-0000-0000C1000000}"/>
    <cellStyle name="1_total_갑지0601_00갑지_백화점화장실인테리어" xfId="195" xr:uid="{00000000-0005-0000-0000-0000C2000000}"/>
    <cellStyle name="1_total_갑지0601_00갑지_백화점화장실인테리어_1-대구상인-7층-031001" xfId="196" xr:uid="{00000000-0005-0000-0000-0000C3000000}"/>
    <cellStyle name="1_total_갑지0601_00갑지_설계내역서" xfId="197" xr:uid="{00000000-0005-0000-0000-0000C4000000}"/>
    <cellStyle name="1_total_갑지0601_00갑지_설계내역서_1-대구상인-7층-031001" xfId="198" xr:uid="{00000000-0005-0000-0000-0000C5000000}"/>
    <cellStyle name="1_total_갑지0601_00갑지_설계내역서_백화점화장실인테리어" xfId="199" xr:uid="{00000000-0005-0000-0000-0000C6000000}"/>
    <cellStyle name="1_total_갑지0601_00갑지_설계내역서_백화점화장실인테리어_1-대구상인-7층-031001" xfId="200" xr:uid="{00000000-0005-0000-0000-0000C7000000}"/>
    <cellStyle name="1_total_갑지0601_00갑지_설계내역서_울산FITNESS인테리어" xfId="201" xr:uid="{00000000-0005-0000-0000-0000C8000000}"/>
    <cellStyle name="1_total_갑지0601_00갑지_설계내역서_울산FITNESS인테리어_1-대구상인-7층-031001" xfId="202" xr:uid="{00000000-0005-0000-0000-0000C9000000}"/>
    <cellStyle name="1_total_갑지0601_00갑지_설계내역서_화명조경" xfId="203" xr:uid="{00000000-0005-0000-0000-0000CA000000}"/>
    <cellStyle name="1_total_갑지0601_00갑지_설계내역서_화명조경_1-대구상인-7층-031001" xfId="204" xr:uid="{00000000-0005-0000-0000-0000CB000000}"/>
    <cellStyle name="1_total_갑지0601_00갑지_설계내역서_화명조경_백화점화장실인테리어" xfId="205" xr:uid="{00000000-0005-0000-0000-0000CC000000}"/>
    <cellStyle name="1_total_갑지0601_00갑지_설계내역서_화명조경_백화점화장실인테리어_1-대구상인-7층-031001" xfId="206" xr:uid="{00000000-0005-0000-0000-0000CD000000}"/>
    <cellStyle name="1_total_갑지0601_00갑지_설계내역서_화명조경_울산FITNESS인테리어" xfId="207" xr:uid="{00000000-0005-0000-0000-0000CE000000}"/>
    <cellStyle name="1_total_갑지0601_00갑지_설계내역서_화명조경_울산FITNESS인테리어_1-대구상인-7층-031001" xfId="208" xr:uid="{00000000-0005-0000-0000-0000CF000000}"/>
    <cellStyle name="1_total_갑지0601_00갑지_설계내역서1월7일" xfId="209" xr:uid="{00000000-0005-0000-0000-0000D0000000}"/>
    <cellStyle name="1_total_갑지0601_00갑지_설계내역서1월7일_1-대구상인-7층-031001" xfId="210" xr:uid="{00000000-0005-0000-0000-0000D1000000}"/>
    <cellStyle name="1_total_갑지0601_00갑지_설계내역서1월7일_백화점화장실인테리어" xfId="211" xr:uid="{00000000-0005-0000-0000-0000D2000000}"/>
    <cellStyle name="1_total_갑지0601_00갑지_설계내역서1월7일_백화점화장실인테리어_1-대구상인-7층-031001" xfId="212" xr:uid="{00000000-0005-0000-0000-0000D3000000}"/>
    <cellStyle name="1_total_갑지0601_00갑지_설계내역서1월7일_울산FITNESS인테리어" xfId="213" xr:uid="{00000000-0005-0000-0000-0000D4000000}"/>
    <cellStyle name="1_total_갑지0601_00갑지_설계내역서1월7일_울산FITNESS인테리어_1-대구상인-7층-031001" xfId="214" xr:uid="{00000000-0005-0000-0000-0000D5000000}"/>
    <cellStyle name="1_total_갑지0601_00갑지_설계내역서1월7일_화명조경" xfId="215" xr:uid="{00000000-0005-0000-0000-0000D6000000}"/>
    <cellStyle name="1_total_갑지0601_00갑지_설계내역서1월7일_화명조경_1-대구상인-7층-031001" xfId="216" xr:uid="{00000000-0005-0000-0000-0000D7000000}"/>
    <cellStyle name="1_total_갑지0601_00갑지_설계내역서1월7일_화명조경_백화점화장실인테리어" xfId="217" xr:uid="{00000000-0005-0000-0000-0000D8000000}"/>
    <cellStyle name="1_total_갑지0601_00갑지_설계내역서1월7일_화명조경_백화점화장실인테리어_1-대구상인-7층-031001" xfId="218" xr:uid="{00000000-0005-0000-0000-0000D9000000}"/>
    <cellStyle name="1_total_갑지0601_00갑지_설계내역서1월7일_화명조경_울산FITNESS인테리어" xfId="219" xr:uid="{00000000-0005-0000-0000-0000DA000000}"/>
    <cellStyle name="1_total_갑지0601_00갑지_설계내역서1월7일_화명조경_울산FITNESS인테리어_1-대구상인-7층-031001" xfId="220" xr:uid="{00000000-0005-0000-0000-0000DB000000}"/>
    <cellStyle name="1_total_갑지0601_00갑지_울산FITNESS인테리어" xfId="221" xr:uid="{00000000-0005-0000-0000-0000DC000000}"/>
    <cellStyle name="1_total_갑지0601_00갑지_울산FITNESS인테리어_1-대구상인-7층-031001" xfId="222" xr:uid="{00000000-0005-0000-0000-0000DD000000}"/>
    <cellStyle name="1_total_갑지0601_00갑지_화명조경" xfId="223" xr:uid="{00000000-0005-0000-0000-0000DE000000}"/>
    <cellStyle name="1_total_갑지0601_00갑지_화명조경_1-대구상인-7층-031001" xfId="224" xr:uid="{00000000-0005-0000-0000-0000DF000000}"/>
    <cellStyle name="1_total_갑지0601_00갑지_화명조경_백화점화장실인테리어" xfId="225" xr:uid="{00000000-0005-0000-0000-0000E0000000}"/>
    <cellStyle name="1_total_갑지0601_00갑지_화명조경_백화점화장실인테리어_1-대구상인-7층-031001" xfId="226" xr:uid="{00000000-0005-0000-0000-0000E1000000}"/>
    <cellStyle name="1_total_갑지0601_00갑지_화명조경_울산FITNESS인테리어" xfId="227" xr:uid="{00000000-0005-0000-0000-0000E2000000}"/>
    <cellStyle name="1_total_갑지0601_00갑지_화명조경_울산FITNESS인테리어_1-대구상인-7층-031001" xfId="228" xr:uid="{00000000-0005-0000-0000-0000E3000000}"/>
    <cellStyle name="1_total_갑지0601_1-대구상인-7층-031001" xfId="229" xr:uid="{00000000-0005-0000-0000-0000E4000000}"/>
    <cellStyle name="1_total_갑지0601_과천놀이터설계서" xfId="230" xr:uid="{00000000-0005-0000-0000-0000E5000000}"/>
    <cellStyle name="1_total_갑지0601_과천놀이터설계서_1-대구상인-7층-031001" xfId="231" xr:uid="{00000000-0005-0000-0000-0000E6000000}"/>
    <cellStyle name="1_total_갑지0601_과천놀이터설계서_백화점화장실인테리어" xfId="232" xr:uid="{00000000-0005-0000-0000-0000E7000000}"/>
    <cellStyle name="1_total_갑지0601_과천놀이터설계서_백화점화장실인테리어_1-대구상인-7층-031001" xfId="233" xr:uid="{00000000-0005-0000-0000-0000E8000000}"/>
    <cellStyle name="1_total_갑지0601_과천놀이터설계서_설계내역서" xfId="234" xr:uid="{00000000-0005-0000-0000-0000E9000000}"/>
    <cellStyle name="1_total_갑지0601_과천놀이터설계서_설계내역서_1-대구상인-7층-031001" xfId="235" xr:uid="{00000000-0005-0000-0000-0000EA000000}"/>
    <cellStyle name="1_total_갑지0601_과천놀이터설계서_설계내역서_백화점화장실인테리어" xfId="236" xr:uid="{00000000-0005-0000-0000-0000EB000000}"/>
    <cellStyle name="1_total_갑지0601_과천놀이터설계서_설계내역서_백화점화장실인테리어_1-대구상인-7층-031001" xfId="237" xr:uid="{00000000-0005-0000-0000-0000EC000000}"/>
    <cellStyle name="1_total_갑지0601_과천놀이터설계서_설계내역서_울산FITNESS인테리어" xfId="238" xr:uid="{00000000-0005-0000-0000-0000ED000000}"/>
    <cellStyle name="1_total_갑지0601_과천놀이터설계서_설계내역서_울산FITNESS인테리어_1-대구상인-7층-031001" xfId="239" xr:uid="{00000000-0005-0000-0000-0000EE000000}"/>
    <cellStyle name="1_total_갑지0601_과천놀이터설계서_설계내역서_화명조경" xfId="240" xr:uid="{00000000-0005-0000-0000-0000EF000000}"/>
    <cellStyle name="1_total_갑지0601_과천놀이터설계서_설계내역서_화명조경_1-대구상인-7층-031001" xfId="241" xr:uid="{00000000-0005-0000-0000-0000F0000000}"/>
    <cellStyle name="1_total_갑지0601_과천놀이터설계서_설계내역서_화명조경_백화점화장실인테리어" xfId="242" xr:uid="{00000000-0005-0000-0000-0000F1000000}"/>
    <cellStyle name="1_total_갑지0601_과천놀이터설계서_설계내역서_화명조경_백화점화장실인테리어_1-대구상인-7층-031001" xfId="243" xr:uid="{00000000-0005-0000-0000-0000F2000000}"/>
    <cellStyle name="1_total_갑지0601_과천놀이터설계서_설계내역서_화명조경_울산FITNESS인테리어" xfId="244" xr:uid="{00000000-0005-0000-0000-0000F3000000}"/>
    <cellStyle name="1_total_갑지0601_과천놀이터설계서_설계내역서_화명조경_울산FITNESS인테리어_1-대구상인-7층-031001" xfId="245" xr:uid="{00000000-0005-0000-0000-0000F4000000}"/>
    <cellStyle name="1_total_갑지0601_과천놀이터설계서_설계내역서1월7일" xfId="246" xr:uid="{00000000-0005-0000-0000-0000F5000000}"/>
    <cellStyle name="1_total_갑지0601_과천놀이터설계서_설계내역서1월7일_1-대구상인-7층-031001" xfId="247" xr:uid="{00000000-0005-0000-0000-0000F6000000}"/>
    <cellStyle name="1_total_갑지0601_과천놀이터설계서_설계내역서1월7일_백화점화장실인테리어" xfId="248" xr:uid="{00000000-0005-0000-0000-0000F7000000}"/>
    <cellStyle name="1_total_갑지0601_과천놀이터설계서_설계내역서1월7일_백화점화장실인테리어_1-대구상인-7층-031001" xfId="249" xr:uid="{00000000-0005-0000-0000-0000F8000000}"/>
    <cellStyle name="1_total_갑지0601_과천놀이터설계서_설계내역서1월7일_울산FITNESS인테리어" xfId="250" xr:uid="{00000000-0005-0000-0000-0000F9000000}"/>
    <cellStyle name="1_total_갑지0601_과천놀이터설계서_설계내역서1월7일_울산FITNESS인테리어_1-대구상인-7층-031001" xfId="251" xr:uid="{00000000-0005-0000-0000-0000FA000000}"/>
    <cellStyle name="1_total_갑지0601_과천놀이터설계서_설계내역서1월7일_화명조경" xfId="252" xr:uid="{00000000-0005-0000-0000-0000FB000000}"/>
    <cellStyle name="1_total_갑지0601_과천놀이터설계서_설계내역서1월7일_화명조경_1-대구상인-7층-031001" xfId="253" xr:uid="{00000000-0005-0000-0000-0000FC000000}"/>
    <cellStyle name="1_total_갑지0601_과천놀이터설계서_설계내역서1월7일_화명조경_백화점화장실인테리어" xfId="254" xr:uid="{00000000-0005-0000-0000-0000FD000000}"/>
    <cellStyle name="1_total_갑지0601_과천놀이터설계서_설계내역서1월7일_화명조경_백화점화장실인테리어_1-대구상인-7층-031001" xfId="255" xr:uid="{00000000-0005-0000-0000-0000FE000000}"/>
    <cellStyle name="1_total_갑지0601_과천놀이터설계서_설계내역서1월7일_화명조경_울산FITNESS인테리어" xfId="256" xr:uid="{00000000-0005-0000-0000-0000FF000000}"/>
    <cellStyle name="1_total_갑지0601_과천놀이터설계서_설계내역서1월7일_화명조경_울산FITNESS인테리어_1-대구상인-7층-031001" xfId="257" xr:uid="{00000000-0005-0000-0000-000000010000}"/>
    <cellStyle name="1_total_갑지0601_과천놀이터설계서_울산FITNESS인테리어" xfId="258" xr:uid="{00000000-0005-0000-0000-000001010000}"/>
    <cellStyle name="1_total_갑지0601_과천놀이터설계서_울산FITNESS인테리어_1-대구상인-7층-031001" xfId="259" xr:uid="{00000000-0005-0000-0000-000002010000}"/>
    <cellStyle name="1_total_갑지0601_과천놀이터설계서_화명조경" xfId="260" xr:uid="{00000000-0005-0000-0000-000003010000}"/>
    <cellStyle name="1_total_갑지0601_과천놀이터설계서_화명조경_1-대구상인-7층-031001" xfId="261" xr:uid="{00000000-0005-0000-0000-000004010000}"/>
    <cellStyle name="1_total_갑지0601_과천놀이터설계서_화명조경_백화점화장실인테리어" xfId="262" xr:uid="{00000000-0005-0000-0000-000005010000}"/>
    <cellStyle name="1_total_갑지0601_과천놀이터설계서_화명조경_백화점화장실인테리어_1-대구상인-7층-031001" xfId="263" xr:uid="{00000000-0005-0000-0000-000006010000}"/>
    <cellStyle name="1_total_갑지0601_과천놀이터설계서_화명조경_울산FITNESS인테리어" xfId="264" xr:uid="{00000000-0005-0000-0000-000007010000}"/>
    <cellStyle name="1_total_갑지0601_과천놀이터설계서_화명조경_울산FITNESS인테리어_1-대구상인-7층-031001" xfId="265" xr:uid="{00000000-0005-0000-0000-000008010000}"/>
    <cellStyle name="1_total_갑지0601_백화점화장실인테리어" xfId="266" xr:uid="{00000000-0005-0000-0000-000009010000}"/>
    <cellStyle name="1_total_갑지0601_백화점화장실인테리어_1-대구상인-7층-031001" xfId="267" xr:uid="{00000000-0005-0000-0000-00000A010000}"/>
    <cellStyle name="1_total_갑지0601_울산FITNESS인테리어" xfId="268" xr:uid="{00000000-0005-0000-0000-00000B010000}"/>
    <cellStyle name="1_total_갑지0601_울산FITNESS인테리어_1-대구상인-7층-031001" xfId="269" xr:uid="{00000000-0005-0000-0000-00000C010000}"/>
    <cellStyle name="1_total_갑지0601_총괄갑지" xfId="270" xr:uid="{00000000-0005-0000-0000-00000D010000}"/>
    <cellStyle name="1_total_갑지0601_총괄갑지_1-대구상인-7층-031001" xfId="271" xr:uid="{00000000-0005-0000-0000-00000E010000}"/>
    <cellStyle name="1_total_갑지0601_총괄갑지_백화점화장실인테리어" xfId="272" xr:uid="{00000000-0005-0000-0000-00000F010000}"/>
    <cellStyle name="1_total_갑지0601_총괄갑지_백화점화장실인테리어_1-대구상인-7층-031001" xfId="273" xr:uid="{00000000-0005-0000-0000-000010010000}"/>
    <cellStyle name="1_total_갑지0601_총괄갑지_설계내역서" xfId="274" xr:uid="{00000000-0005-0000-0000-000011010000}"/>
    <cellStyle name="1_total_갑지0601_총괄갑지_설계내역서_1-대구상인-7층-031001" xfId="275" xr:uid="{00000000-0005-0000-0000-000012010000}"/>
    <cellStyle name="1_total_갑지0601_총괄갑지_설계내역서_백화점화장실인테리어" xfId="276" xr:uid="{00000000-0005-0000-0000-000013010000}"/>
    <cellStyle name="1_total_갑지0601_총괄갑지_설계내역서_백화점화장실인테리어_1-대구상인-7층-031001" xfId="277" xr:uid="{00000000-0005-0000-0000-000014010000}"/>
    <cellStyle name="1_total_갑지0601_총괄갑지_설계내역서_울산FITNESS인테리어" xfId="278" xr:uid="{00000000-0005-0000-0000-000015010000}"/>
    <cellStyle name="1_total_갑지0601_총괄갑지_설계내역서_울산FITNESS인테리어_1-대구상인-7층-031001" xfId="279" xr:uid="{00000000-0005-0000-0000-000016010000}"/>
    <cellStyle name="1_total_갑지0601_총괄갑지_설계내역서_화명조경" xfId="280" xr:uid="{00000000-0005-0000-0000-000017010000}"/>
    <cellStyle name="1_total_갑지0601_총괄갑지_설계내역서_화명조경_1-대구상인-7층-031001" xfId="281" xr:uid="{00000000-0005-0000-0000-000018010000}"/>
    <cellStyle name="1_total_갑지0601_총괄갑지_설계내역서_화명조경_백화점화장실인테리어" xfId="282" xr:uid="{00000000-0005-0000-0000-000019010000}"/>
    <cellStyle name="1_total_갑지0601_총괄갑지_설계내역서_화명조경_백화점화장실인테리어_1-대구상인-7층-031001" xfId="283" xr:uid="{00000000-0005-0000-0000-00001A010000}"/>
    <cellStyle name="1_total_갑지0601_총괄갑지_설계내역서_화명조경_울산FITNESS인테리어" xfId="284" xr:uid="{00000000-0005-0000-0000-00001B010000}"/>
    <cellStyle name="1_total_갑지0601_총괄갑지_설계내역서_화명조경_울산FITNESS인테리어_1-대구상인-7층-031001" xfId="285" xr:uid="{00000000-0005-0000-0000-00001C010000}"/>
    <cellStyle name="1_total_갑지0601_총괄갑지_설계내역서1월7일" xfId="286" xr:uid="{00000000-0005-0000-0000-00001D010000}"/>
    <cellStyle name="1_total_갑지0601_총괄갑지_설계내역서1월7일_1-대구상인-7층-031001" xfId="287" xr:uid="{00000000-0005-0000-0000-00001E010000}"/>
    <cellStyle name="1_total_갑지0601_총괄갑지_설계내역서1월7일_백화점화장실인테리어" xfId="288" xr:uid="{00000000-0005-0000-0000-00001F010000}"/>
    <cellStyle name="1_total_갑지0601_총괄갑지_설계내역서1월7일_백화점화장실인테리어_1-대구상인-7층-031001" xfId="289" xr:uid="{00000000-0005-0000-0000-000020010000}"/>
    <cellStyle name="1_total_갑지0601_총괄갑지_설계내역서1월7일_울산FITNESS인테리어" xfId="290" xr:uid="{00000000-0005-0000-0000-000021010000}"/>
    <cellStyle name="1_total_갑지0601_총괄갑지_설계내역서1월7일_울산FITNESS인테리어_1-대구상인-7층-031001" xfId="291" xr:uid="{00000000-0005-0000-0000-000022010000}"/>
    <cellStyle name="1_total_갑지0601_총괄갑지_설계내역서1월7일_화명조경" xfId="292" xr:uid="{00000000-0005-0000-0000-000023010000}"/>
    <cellStyle name="1_total_갑지0601_총괄갑지_설계내역서1월7일_화명조경_1-대구상인-7층-031001" xfId="293" xr:uid="{00000000-0005-0000-0000-000024010000}"/>
    <cellStyle name="1_total_갑지0601_총괄갑지_설계내역서1월7일_화명조경_백화점화장실인테리어" xfId="294" xr:uid="{00000000-0005-0000-0000-000025010000}"/>
    <cellStyle name="1_total_갑지0601_총괄갑지_설계내역서1월7일_화명조경_백화점화장실인테리어_1-대구상인-7층-031001" xfId="295" xr:uid="{00000000-0005-0000-0000-000026010000}"/>
    <cellStyle name="1_total_갑지0601_총괄갑지_설계내역서1월7일_화명조경_울산FITNESS인테리어" xfId="296" xr:uid="{00000000-0005-0000-0000-000027010000}"/>
    <cellStyle name="1_total_갑지0601_총괄갑지_설계내역서1월7일_화명조경_울산FITNESS인테리어_1-대구상인-7층-031001" xfId="297" xr:uid="{00000000-0005-0000-0000-000028010000}"/>
    <cellStyle name="1_total_갑지0601_총괄갑지_울산FITNESS인테리어" xfId="298" xr:uid="{00000000-0005-0000-0000-000029010000}"/>
    <cellStyle name="1_total_갑지0601_총괄갑지_울산FITNESS인테리어_1-대구상인-7층-031001" xfId="299" xr:uid="{00000000-0005-0000-0000-00002A010000}"/>
    <cellStyle name="1_total_갑지0601_총괄갑지_화명조경" xfId="300" xr:uid="{00000000-0005-0000-0000-00002B010000}"/>
    <cellStyle name="1_total_갑지0601_총괄갑지_화명조경_1-대구상인-7층-031001" xfId="301" xr:uid="{00000000-0005-0000-0000-00002C010000}"/>
    <cellStyle name="1_total_갑지0601_총괄갑지_화명조경_백화점화장실인테리어" xfId="302" xr:uid="{00000000-0005-0000-0000-00002D010000}"/>
    <cellStyle name="1_total_갑지0601_총괄갑지_화명조경_백화점화장실인테리어_1-대구상인-7층-031001" xfId="303" xr:uid="{00000000-0005-0000-0000-00002E010000}"/>
    <cellStyle name="1_total_갑지0601_총괄갑지_화명조경_울산FITNESS인테리어" xfId="304" xr:uid="{00000000-0005-0000-0000-00002F010000}"/>
    <cellStyle name="1_total_갑지0601_총괄갑지_화명조경_울산FITNESS인테리어_1-대구상인-7층-031001" xfId="305" xr:uid="{00000000-0005-0000-0000-000030010000}"/>
    <cellStyle name="1_total_갑지0601_총괄내역서" xfId="306" xr:uid="{00000000-0005-0000-0000-000031010000}"/>
    <cellStyle name="1_total_갑지0601_총괄내역서_1-대구상인-7층-031001" xfId="307" xr:uid="{00000000-0005-0000-0000-000032010000}"/>
    <cellStyle name="1_total_갑지0601_총괄내역서_백화점화장실인테리어" xfId="308" xr:uid="{00000000-0005-0000-0000-000033010000}"/>
    <cellStyle name="1_total_갑지0601_총괄내역서_백화점화장실인테리어_1-대구상인-7층-031001" xfId="309" xr:uid="{00000000-0005-0000-0000-000034010000}"/>
    <cellStyle name="1_total_갑지0601_총괄내역서_설계내역서" xfId="310" xr:uid="{00000000-0005-0000-0000-000035010000}"/>
    <cellStyle name="1_total_갑지0601_총괄내역서_설계내역서_1-대구상인-7층-031001" xfId="311" xr:uid="{00000000-0005-0000-0000-000036010000}"/>
    <cellStyle name="1_total_갑지0601_총괄내역서_설계내역서_백화점화장실인테리어" xfId="312" xr:uid="{00000000-0005-0000-0000-000037010000}"/>
    <cellStyle name="1_total_갑지0601_총괄내역서_설계내역서_백화점화장실인테리어_1-대구상인-7층-031001" xfId="313" xr:uid="{00000000-0005-0000-0000-000038010000}"/>
    <cellStyle name="1_total_갑지0601_총괄내역서_설계내역서_울산FITNESS인테리어" xfId="314" xr:uid="{00000000-0005-0000-0000-000039010000}"/>
    <cellStyle name="1_total_갑지0601_총괄내역서_설계내역서_울산FITNESS인테리어_1-대구상인-7층-031001" xfId="315" xr:uid="{00000000-0005-0000-0000-00003A010000}"/>
    <cellStyle name="1_total_갑지0601_총괄내역서_설계내역서_화명조경" xfId="316" xr:uid="{00000000-0005-0000-0000-00003B010000}"/>
    <cellStyle name="1_total_갑지0601_총괄내역서_설계내역서_화명조경_1-대구상인-7층-031001" xfId="317" xr:uid="{00000000-0005-0000-0000-00003C010000}"/>
    <cellStyle name="1_total_갑지0601_총괄내역서_설계내역서_화명조경_백화점화장실인테리어" xfId="318" xr:uid="{00000000-0005-0000-0000-00003D010000}"/>
    <cellStyle name="1_total_갑지0601_총괄내역서_설계내역서_화명조경_백화점화장실인테리어_1-대구상인-7층-031001" xfId="319" xr:uid="{00000000-0005-0000-0000-00003E010000}"/>
    <cellStyle name="1_total_갑지0601_총괄내역서_설계내역서_화명조경_울산FITNESS인테리어" xfId="320" xr:uid="{00000000-0005-0000-0000-00003F010000}"/>
    <cellStyle name="1_total_갑지0601_총괄내역서_설계내역서_화명조경_울산FITNESS인테리어_1-대구상인-7층-031001" xfId="321" xr:uid="{00000000-0005-0000-0000-000040010000}"/>
    <cellStyle name="1_total_갑지0601_총괄내역서_설계내역서1월7일" xfId="322" xr:uid="{00000000-0005-0000-0000-000041010000}"/>
    <cellStyle name="1_total_갑지0601_총괄내역서_설계내역서1월7일_1-대구상인-7층-031001" xfId="323" xr:uid="{00000000-0005-0000-0000-000042010000}"/>
    <cellStyle name="1_total_갑지0601_총괄내역서_설계내역서1월7일_백화점화장실인테리어" xfId="324" xr:uid="{00000000-0005-0000-0000-000043010000}"/>
    <cellStyle name="1_total_갑지0601_총괄내역서_설계내역서1월7일_백화점화장실인테리어_1-대구상인-7층-031001" xfId="325" xr:uid="{00000000-0005-0000-0000-000044010000}"/>
    <cellStyle name="1_total_갑지0601_총괄내역서_설계내역서1월7일_울산FITNESS인테리어" xfId="326" xr:uid="{00000000-0005-0000-0000-000045010000}"/>
    <cellStyle name="1_total_갑지0601_총괄내역서_설계내역서1월7일_울산FITNESS인테리어_1-대구상인-7층-031001" xfId="327" xr:uid="{00000000-0005-0000-0000-000046010000}"/>
    <cellStyle name="1_total_갑지0601_총괄내역서_설계내역서1월7일_화명조경" xfId="328" xr:uid="{00000000-0005-0000-0000-000047010000}"/>
    <cellStyle name="1_total_갑지0601_총괄내역서_설계내역서1월7일_화명조경_1-대구상인-7층-031001" xfId="329" xr:uid="{00000000-0005-0000-0000-000048010000}"/>
    <cellStyle name="1_total_갑지0601_총괄내역서_설계내역서1월7일_화명조경_백화점화장실인테리어" xfId="330" xr:uid="{00000000-0005-0000-0000-000049010000}"/>
    <cellStyle name="1_total_갑지0601_총괄내역서_설계내역서1월7일_화명조경_백화점화장실인테리어_1-대구상인-7층-031001" xfId="331" xr:uid="{00000000-0005-0000-0000-00004A010000}"/>
    <cellStyle name="1_total_갑지0601_총괄내역서_설계내역서1월7일_화명조경_울산FITNESS인테리어" xfId="332" xr:uid="{00000000-0005-0000-0000-00004B010000}"/>
    <cellStyle name="1_total_갑지0601_총괄내역서_설계내역서1월7일_화명조경_울산FITNESS인테리어_1-대구상인-7층-031001" xfId="333" xr:uid="{00000000-0005-0000-0000-00004C010000}"/>
    <cellStyle name="1_total_갑지0601_총괄내역서_울산FITNESS인테리어" xfId="334" xr:uid="{00000000-0005-0000-0000-00004D010000}"/>
    <cellStyle name="1_total_갑지0601_총괄내역서_울산FITNESS인테리어_1-대구상인-7층-031001" xfId="335" xr:uid="{00000000-0005-0000-0000-00004E010000}"/>
    <cellStyle name="1_total_갑지0601_총괄내역서_화명조경" xfId="336" xr:uid="{00000000-0005-0000-0000-00004F010000}"/>
    <cellStyle name="1_total_갑지0601_총괄내역서_화명조경_1-대구상인-7층-031001" xfId="337" xr:uid="{00000000-0005-0000-0000-000050010000}"/>
    <cellStyle name="1_total_갑지0601_총괄내역서_화명조경_백화점화장실인테리어" xfId="338" xr:uid="{00000000-0005-0000-0000-000051010000}"/>
    <cellStyle name="1_total_갑지0601_총괄내역서_화명조경_백화점화장실인테리어_1-대구상인-7층-031001" xfId="339" xr:uid="{00000000-0005-0000-0000-000052010000}"/>
    <cellStyle name="1_total_갑지0601_총괄내역서_화명조경_울산FITNESS인테리어" xfId="340" xr:uid="{00000000-0005-0000-0000-000053010000}"/>
    <cellStyle name="1_total_갑지0601_총괄내역서_화명조경_울산FITNESS인테리어_1-대구상인-7층-031001" xfId="341" xr:uid="{00000000-0005-0000-0000-000054010000}"/>
    <cellStyle name="1_total_갑지0601_화명조경" xfId="342" xr:uid="{00000000-0005-0000-0000-000055010000}"/>
    <cellStyle name="1_total_갑지0601_화명조경_1-대구상인-7층-031001" xfId="343" xr:uid="{00000000-0005-0000-0000-000056010000}"/>
    <cellStyle name="1_total_갑지0601_화명조경_백화점화장실인테리어" xfId="344" xr:uid="{00000000-0005-0000-0000-000057010000}"/>
    <cellStyle name="1_total_갑지0601_화명조경_백화점화장실인테리어_1-대구상인-7층-031001" xfId="345" xr:uid="{00000000-0005-0000-0000-000058010000}"/>
    <cellStyle name="1_total_갑지0601_화명조경_울산FITNESS인테리어" xfId="346" xr:uid="{00000000-0005-0000-0000-000059010000}"/>
    <cellStyle name="1_total_갑지0601_화명조경_울산FITNESS인테리어_1-대구상인-7층-031001" xfId="347" xr:uid="{00000000-0005-0000-0000-00005A010000}"/>
    <cellStyle name="1_total_백화점화장실인테리어" xfId="348" xr:uid="{00000000-0005-0000-0000-00005B010000}"/>
    <cellStyle name="1_total_백화점화장실인테리어_1-대구상인-7층-031001" xfId="349" xr:uid="{00000000-0005-0000-0000-00005C010000}"/>
    <cellStyle name="1_total_설계내역서" xfId="350" xr:uid="{00000000-0005-0000-0000-00005D010000}"/>
    <cellStyle name="1_total_설계내역서_1-대구상인-7층-031001" xfId="351" xr:uid="{00000000-0005-0000-0000-00005E010000}"/>
    <cellStyle name="1_total_설계내역서_백화점화장실인테리어" xfId="352" xr:uid="{00000000-0005-0000-0000-00005F010000}"/>
    <cellStyle name="1_total_설계내역서_백화점화장실인테리어_1-대구상인-7층-031001" xfId="353" xr:uid="{00000000-0005-0000-0000-000060010000}"/>
    <cellStyle name="1_total_설계내역서_울산FITNESS인테리어" xfId="354" xr:uid="{00000000-0005-0000-0000-000061010000}"/>
    <cellStyle name="1_total_설계내역서_울산FITNESS인테리어_1-대구상인-7층-031001" xfId="355" xr:uid="{00000000-0005-0000-0000-000062010000}"/>
    <cellStyle name="1_total_설계내역서_화명조경" xfId="356" xr:uid="{00000000-0005-0000-0000-000063010000}"/>
    <cellStyle name="1_total_설계내역서_화명조경_1-대구상인-7층-031001" xfId="357" xr:uid="{00000000-0005-0000-0000-000064010000}"/>
    <cellStyle name="1_total_설계내역서_화명조경_백화점화장실인테리어" xfId="358" xr:uid="{00000000-0005-0000-0000-000065010000}"/>
    <cellStyle name="1_total_설계내역서_화명조경_백화점화장실인테리어_1-대구상인-7층-031001" xfId="359" xr:uid="{00000000-0005-0000-0000-000066010000}"/>
    <cellStyle name="1_total_설계내역서_화명조경_울산FITNESS인테리어" xfId="360" xr:uid="{00000000-0005-0000-0000-000067010000}"/>
    <cellStyle name="1_total_설계내역서_화명조경_울산FITNESS인테리어_1-대구상인-7층-031001" xfId="361" xr:uid="{00000000-0005-0000-0000-000068010000}"/>
    <cellStyle name="1_total_설계내역서1월7일" xfId="362" xr:uid="{00000000-0005-0000-0000-000069010000}"/>
    <cellStyle name="1_total_설계내역서1월7일_1-대구상인-7층-031001" xfId="363" xr:uid="{00000000-0005-0000-0000-00006A010000}"/>
    <cellStyle name="1_total_설계내역서1월7일_백화점화장실인테리어" xfId="364" xr:uid="{00000000-0005-0000-0000-00006B010000}"/>
    <cellStyle name="1_total_설계내역서1월7일_백화점화장실인테리어_1-대구상인-7층-031001" xfId="365" xr:uid="{00000000-0005-0000-0000-00006C010000}"/>
    <cellStyle name="1_total_설계내역서1월7일_울산FITNESS인테리어" xfId="366" xr:uid="{00000000-0005-0000-0000-00006D010000}"/>
    <cellStyle name="1_total_설계내역서1월7일_울산FITNESS인테리어_1-대구상인-7층-031001" xfId="367" xr:uid="{00000000-0005-0000-0000-00006E010000}"/>
    <cellStyle name="1_total_설계내역서1월7일_화명조경" xfId="368" xr:uid="{00000000-0005-0000-0000-00006F010000}"/>
    <cellStyle name="1_total_설계내역서1월7일_화명조경_1-대구상인-7층-031001" xfId="369" xr:uid="{00000000-0005-0000-0000-000070010000}"/>
    <cellStyle name="1_total_설계내역서1월7일_화명조경_백화점화장실인테리어" xfId="370" xr:uid="{00000000-0005-0000-0000-000071010000}"/>
    <cellStyle name="1_total_설계내역서1월7일_화명조경_백화점화장실인테리어_1-대구상인-7층-031001" xfId="371" xr:uid="{00000000-0005-0000-0000-000072010000}"/>
    <cellStyle name="1_total_설계내역서1월7일_화명조경_울산FITNESS인테리어" xfId="372" xr:uid="{00000000-0005-0000-0000-000073010000}"/>
    <cellStyle name="1_total_설계내역서1월7일_화명조경_울산FITNESS인테리어_1-대구상인-7층-031001" xfId="373" xr:uid="{00000000-0005-0000-0000-000074010000}"/>
    <cellStyle name="1_total_수원변경수량산출" xfId="374" xr:uid="{00000000-0005-0000-0000-000075010000}"/>
    <cellStyle name="1_total_수원변경수량산출_1-대구상인-7층-031001" xfId="375" xr:uid="{00000000-0005-0000-0000-000076010000}"/>
    <cellStyle name="1_total_수원변경수량산출_백화점화장실인테리어" xfId="376" xr:uid="{00000000-0005-0000-0000-000077010000}"/>
    <cellStyle name="1_total_수원변경수량산출_백화점화장실인테리어_1-대구상인-7층-031001" xfId="377" xr:uid="{00000000-0005-0000-0000-000078010000}"/>
    <cellStyle name="1_total_수원변경수량산출_설계내역서" xfId="378" xr:uid="{00000000-0005-0000-0000-000079010000}"/>
    <cellStyle name="1_total_수원변경수량산출_설계내역서_1-대구상인-7층-031001" xfId="379" xr:uid="{00000000-0005-0000-0000-00007A010000}"/>
    <cellStyle name="1_total_수원변경수량산출_설계내역서_백화점화장실인테리어" xfId="380" xr:uid="{00000000-0005-0000-0000-00007B010000}"/>
    <cellStyle name="1_total_수원변경수량산출_설계내역서_백화점화장실인테리어_1-대구상인-7층-031001" xfId="381" xr:uid="{00000000-0005-0000-0000-00007C010000}"/>
    <cellStyle name="1_total_수원변경수량산출_설계내역서_울산FITNESS인테리어" xfId="382" xr:uid="{00000000-0005-0000-0000-00007D010000}"/>
    <cellStyle name="1_total_수원변경수량산출_설계내역서_울산FITNESS인테리어_1-대구상인-7층-031001" xfId="383" xr:uid="{00000000-0005-0000-0000-00007E010000}"/>
    <cellStyle name="1_total_수원변경수량산출_설계내역서_화명조경" xfId="384" xr:uid="{00000000-0005-0000-0000-00007F010000}"/>
    <cellStyle name="1_total_수원변경수량산출_설계내역서_화명조경_1-대구상인-7층-031001" xfId="385" xr:uid="{00000000-0005-0000-0000-000080010000}"/>
    <cellStyle name="1_total_수원변경수량산출_설계내역서_화명조경_백화점화장실인테리어" xfId="386" xr:uid="{00000000-0005-0000-0000-000081010000}"/>
    <cellStyle name="1_total_수원변경수량산출_설계내역서_화명조경_백화점화장실인테리어_1-대구상인-7층-031001" xfId="387" xr:uid="{00000000-0005-0000-0000-000082010000}"/>
    <cellStyle name="1_total_수원변경수량산출_설계내역서_화명조경_울산FITNESS인테리어" xfId="388" xr:uid="{00000000-0005-0000-0000-000083010000}"/>
    <cellStyle name="1_total_수원변경수량산출_설계내역서_화명조경_울산FITNESS인테리어_1-대구상인-7층-031001" xfId="389" xr:uid="{00000000-0005-0000-0000-000084010000}"/>
    <cellStyle name="1_total_수원변경수량산출_설계내역서1월7일" xfId="390" xr:uid="{00000000-0005-0000-0000-000085010000}"/>
    <cellStyle name="1_total_수원변경수량산출_설계내역서1월7일_1-대구상인-7층-031001" xfId="391" xr:uid="{00000000-0005-0000-0000-000086010000}"/>
    <cellStyle name="1_total_수원변경수량산출_설계내역서1월7일_백화점화장실인테리어" xfId="392" xr:uid="{00000000-0005-0000-0000-000087010000}"/>
    <cellStyle name="1_total_수원변경수량산출_설계내역서1월7일_백화점화장실인테리어_1-대구상인-7층-031001" xfId="393" xr:uid="{00000000-0005-0000-0000-000088010000}"/>
    <cellStyle name="1_total_수원변경수량산출_설계내역서1월7일_울산FITNESS인테리어" xfId="394" xr:uid="{00000000-0005-0000-0000-000089010000}"/>
    <cellStyle name="1_total_수원변경수량산출_설계내역서1월7일_울산FITNESS인테리어_1-대구상인-7층-031001" xfId="395" xr:uid="{00000000-0005-0000-0000-00008A010000}"/>
    <cellStyle name="1_total_수원변경수량산출_설계내역서1월7일_화명조경" xfId="396" xr:uid="{00000000-0005-0000-0000-00008B010000}"/>
    <cellStyle name="1_total_수원변경수량산출_설계내역서1월7일_화명조경_1-대구상인-7층-031001" xfId="397" xr:uid="{00000000-0005-0000-0000-00008C010000}"/>
    <cellStyle name="1_total_수원변경수량산출_설계내역서1월7일_화명조경_백화점화장실인테리어" xfId="398" xr:uid="{00000000-0005-0000-0000-00008D010000}"/>
    <cellStyle name="1_total_수원변경수량산출_설계내역서1월7일_화명조경_백화점화장실인테리어_1-대구상인-7층-031001" xfId="399" xr:uid="{00000000-0005-0000-0000-00008E010000}"/>
    <cellStyle name="1_total_수원변경수량산출_설계내역서1월7일_화명조경_울산FITNESS인테리어" xfId="400" xr:uid="{00000000-0005-0000-0000-00008F010000}"/>
    <cellStyle name="1_total_수원변경수량산출_설계내역서1월7일_화명조경_울산FITNESS인테리어_1-대구상인-7층-031001" xfId="401" xr:uid="{00000000-0005-0000-0000-000090010000}"/>
    <cellStyle name="1_total_수원변경수량산출_울산FITNESS인테리어" xfId="402" xr:uid="{00000000-0005-0000-0000-000091010000}"/>
    <cellStyle name="1_total_수원변경수량산출_울산FITNESS인테리어_1-대구상인-7층-031001" xfId="403" xr:uid="{00000000-0005-0000-0000-000092010000}"/>
    <cellStyle name="1_total_수원변경수량산출_화명조경" xfId="404" xr:uid="{00000000-0005-0000-0000-000093010000}"/>
    <cellStyle name="1_total_수원변경수량산출_화명조경_1-대구상인-7층-031001" xfId="405" xr:uid="{00000000-0005-0000-0000-000094010000}"/>
    <cellStyle name="1_total_수원변경수량산출_화명조경_백화점화장실인테리어" xfId="406" xr:uid="{00000000-0005-0000-0000-000095010000}"/>
    <cellStyle name="1_total_수원변경수량산출_화명조경_백화점화장실인테리어_1-대구상인-7층-031001" xfId="407" xr:uid="{00000000-0005-0000-0000-000096010000}"/>
    <cellStyle name="1_total_수원변경수량산출_화명조경_울산FITNESS인테리어" xfId="408" xr:uid="{00000000-0005-0000-0000-000097010000}"/>
    <cellStyle name="1_total_수원변경수량산출_화명조경_울산FITNESS인테리어_1-대구상인-7층-031001" xfId="409" xr:uid="{00000000-0005-0000-0000-000098010000}"/>
    <cellStyle name="1_total_쌍용수량0905" xfId="410" xr:uid="{00000000-0005-0000-0000-000099010000}"/>
    <cellStyle name="1_total_쌍용수량0905_1-대구상인-7층-031001" xfId="411" xr:uid="{00000000-0005-0000-0000-00009A010000}"/>
    <cellStyle name="1_total_쌍용수량0905_백화점화장실인테리어" xfId="412" xr:uid="{00000000-0005-0000-0000-00009B010000}"/>
    <cellStyle name="1_total_쌍용수량0905_백화점화장실인테리어_1-대구상인-7층-031001" xfId="413" xr:uid="{00000000-0005-0000-0000-00009C010000}"/>
    <cellStyle name="1_total_쌍용수량0905_설계내역서" xfId="414" xr:uid="{00000000-0005-0000-0000-00009D010000}"/>
    <cellStyle name="1_total_쌍용수량0905_설계내역서_1-대구상인-7층-031001" xfId="415" xr:uid="{00000000-0005-0000-0000-00009E010000}"/>
    <cellStyle name="1_total_쌍용수량0905_설계내역서_백화점화장실인테리어" xfId="416" xr:uid="{00000000-0005-0000-0000-00009F010000}"/>
    <cellStyle name="1_total_쌍용수량0905_설계내역서_백화점화장실인테리어_1-대구상인-7층-031001" xfId="417" xr:uid="{00000000-0005-0000-0000-0000A0010000}"/>
    <cellStyle name="1_total_쌍용수량0905_설계내역서_울산FITNESS인테리어" xfId="418" xr:uid="{00000000-0005-0000-0000-0000A1010000}"/>
    <cellStyle name="1_total_쌍용수량0905_설계내역서_울산FITNESS인테리어_1-대구상인-7층-031001" xfId="419" xr:uid="{00000000-0005-0000-0000-0000A2010000}"/>
    <cellStyle name="1_total_쌍용수량0905_설계내역서_화명조경" xfId="420" xr:uid="{00000000-0005-0000-0000-0000A3010000}"/>
    <cellStyle name="1_total_쌍용수량0905_설계내역서_화명조경_1-대구상인-7층-031001" xfId="421" xr:uid="{00000000-0005-0000-0000-0000A4010000}"/>
    <cellStyle name="1_total_쌍용수량0905_설계내역서_화명조경_백화점화장실인테리어" xfId="422" xr:uid="{00000000-0005-0000-0000-0000A5010000}"/>
    <cellStyle name="1_total_쌍용수량0905_설계내역서_화명조경_백화점화장실인테리어_1-대구상인-7층-031001" xfId="423" xr:uid="{00000000-0005-0000-0000-0000A6010000}"/>
    <cellStyle name="1_total_쌍용수량0905_설계내역서_화명조경_울산FITNESS인테리어" xfId="424" xr:uid="{00000000-0005-0000-0000-0000A7010000}"/>
    <cellStyle name="1_total_쌍용수량0905_설계내역서_화명조경_울산FITNESS인테리어_1-대구상인-7층-031001" xfId="425" xr:uid="{00000000-0005-0000-0000-0000A8010000}"/>
    <cellStyle name="1_total_쌍용수량0905_설계내역서1월7일" xfId="426" xr:uid="{00000000-0005-0000-0000-0000A9010000}"/>
    <cellStyle name="1_total_쌍용수량0905_설계내역서1월7일_1-대구상인-7층-031001" xfId="427" xr:uid="{00000000-0005-0000-0000-0000AA010000}"/>
    <cellStyle name="1_total_쌍용수량0905_설계내역서1월7일_백화점화장실인테리어" xfId="428" xr:uid="{00000000-0005-0000-0000-0000AB010000}"/>
    <cellStyle name="1_total_쌍용수량0905_설계내역서1월7일_백화점화장실인테리어_1-대구상인-7층-031001" xfId="429" xr:uid="{00000000-0005-0000-0000-0000AC010000}"/>
    <cellStyle name="1_total_쌍용수량0905_설계내역서1월7일_울산FITNESS인테리어" xfId="430" xr:uid="{00000000-0005-0000-0000-0000AD010000}"/>
    <cellStyle name="1_total_쌍용수량0905_설계내역서1월7일_울산FITNESS인테리어_1-대구상인-7층-031001" xfId="431" xr:uid="{00000000-0005-0000-0000-0000AE010000}"/>
    <cellStyle name="1_total_쌍용수량0905_설계내역서1월7일_화명조경" xfId="432" xr:uid="{00000000-0005-0000-0000-0000AF010000}"/>
    <cellStyle name="1_total_쌍용수량0905_설계내역서1월7일_화명조경_1-대구상인-7층-031001" xfId="433" xr:uid="{00000000-0005-0000-0000-0000B0010000}"/>
    <cellStyle name="1_total_쌍용수량0905_설계내역서1월7일_화명조경_백화점화장실인테리어" xfId="434" xr:uid="{00000000-0005-0000-0000-0000B1010000}"/>
    <cellStyle name="1_total_쌍용수량0905_설계내역서1월7일_화명조경_백화점화장실인테리어_1-대구상인-7층-031001" xfId="435" xr:uid="{00000000-0005-0000-0000-0000B2010000}"/>
    <cellStyle name="1_total_쌍용수량0905_설계내역서1월7일_화명조경_울산FITNESS인테리어" xfId="436" xr:uid="{00000000-0005-0000-0000-0000B3010000}"/>
    <cellStyle name="1_total_쌍용수량0905_설계내역서1월7일_화명조경_울산FITNESS인테리어_1-대구상인-7층-031001" xfId="437" xr:uid="{00000000-0005-0000-0000-0000B4010000}"/>
    <cellStyle name="1_total_쌍용수량0905_울산FITNESS인테리어" xfId="438" xr:uid="{00000000-0005-0000-0000-0000B5010000}"/>
    <cellStyle name="1_total_쌍용수량0905_울산FITNESS인테리어_1-대구상인-7층-031001" xfId="439" xr:uid="{00000000-0005-0000-0000-0000B6010000}"/>
    <cellStyle name="1_total_쌍용수량0905_화명조경" xfId="440" xr:uid="{00000000-0005-0000-0000-0000B7010000}"/>
    <cellStyle name="1_total_쌍용수량0905_화명조경_1-대구상인-7층-031001" xfId="441" xr:uid="{00000000-0005-0000-0000-0000B8010000}"/>
    <cellStyle name="1_total_쌍용수량0905_화명조경_백화점화장실인테리어" xfId="442" xr:uid="{00000000-0005-0000-0000-0000B9010000}"/>
    <cellStyle name="1_total_쌍용수량0905_화명조경_백화점화장실인테리어_1-대구상인-7층-031001" xfId="443" xr:uid="{00000000-0005-0000-0000-0000BA010000}"/>
    <cellStyle name="1_total_쌍용수량0905_화명조경_울산FITNESS인테리어" xfId="444" xr:uid="{00000000-0005-0000-0000-0000BB010000}"/>
    <cellStyle name="1_total_쌍용수량0905_화명조경_울산FITNESS인테리어_1-대구상인-7층-031001" xfId="445" xr:uid="{00000000-0005-0000-0000-0000BC010000}"/>
    <cellStyle name="1_total_울산FITNESS인테리어" xfId="446" xr:uid="{00000000-0005-0000-0000-0000BD010000}"/>
    <cellStyle name="1_total_울산FITNESS인테리어_1-대구상인-7층-031001" xfId="447" xr:uid="{00000000-0005-0000-0000-0000BE010000}"/>
    <cellStyle name="1_total_은파수량집계" xfId="448" xr:uid="{00000000-0005-0000-0000-0000BF010000}"/>
    <cellStyle name="1_total_은파수량집계_1-대구상인-7층-031001" xfId="449" xr:uid="{00000000-0005-0000-0000-0000C0010000}"/>
    <cellStyle name="1_total_은파수량집계_백화점화장실인테리어" xfId="450" xr:uid="{00000000-0005-0000-0000-0000C1010000}"/>
    <cellStyle name="1_total_은파수량집계_백화점화장실인테리어_1-대구상인-7층-031001" xfId="451" xr:uid="{00000000-0005-0000-0000-0000C2010000}"/>
    <cellStyle name="1_total_은파수량집계_설계내역서" xfId="452" xr:uid="{00000000-0005-0000-0000-0000C3010000}"/>
    <cellStyle name="1_total_은파수량집계_설계내역서_1-대구상인-7층-031001" xfId="453" xr:uid="{00000000-0005-0000-0000-0000C4010000}"/>
    <cellStyle name="1_total_은파수량집계_설계내역서_백화점화장실인테리어" xfId="454" xr:uid="{00000000-0005-0000-0000-0000C5010000}"/>
    <cellStyle name="1_total_은파수량집계_설계내역서_백화점화장실인테리어_1-대구상인-7층-031001" xfId="455" xr:uid="{00000000-0005-0000-0000-0000C6010000}"/>
    <cellStyle name="1_total_은파수량집계_설계내역서_울산FITNESS인테리어" xfId="456" xr:uid="{00000000-0005-0000-0000-0000C7010000}"/>
    <cellStyle name="1_total_은파수량집계_설계내역서_울산FITNESS인테리어_1-대구상인-7층-031001" xfId="457" xr:uid="{00000000-0005-0000-0000-0000C8010000}"/>
    <cellStyle name="1_total_은파수량집계_설계내역서_화명조경" xfId="458" xr:uid="{00000000-0005-0000-0000-0000C9010000}"/>
    <cellStyle name="1_total_은파수량집계_설계내역서_화명조경_1-대구상인-7층-031001" xfId="459" xr:uid="{00000000-0005-0000-0000-0000CA010000}"/>
    <cellStyle name="1_total_은파수량집계_설계내역서_화명조경_백화점화장실인테리어" xfId="460" xr:uid="{00000000-0005-0000-0000-0000CB010000}"/>
    <cellStyle name="1_total_은파수량집계_설계내역서_화명조경_백화점화장실인테리어_1-대구상인-7층-031001" xfId="461" xr:uid="{00000000-0005-0000-0000-0000CC010000}"/>
    <cellStyle name="1_total_은파수량집계_설계내역서_화명조경_울산FITNESS인테리어" xfId="462" xr:uid="{00000000-0005-0000-0000-0000CD010000}"/>
    <cellStyle name="1_total_은파수량집계_설계내역서_화명조경_울산FITNESS인테리어_1-대구상인-7층-031001" xfId="463" xr:uid="{00000000-0005-0000-0000-0000CE010000}"/>
    <cellStyle name="1_total_은파수량집계_설계내역서1월7일" xfId="464" xr:uid="{00000000-0005-0000-0000-0000CF010000}"/>
    <cellStyle name="1_total_은파수량집계_설계내역서1월7일_1-대구상인-7층-031001" xfId="465" xr:uid="{00000000-0005-0000-0000-0000D0010000}"/>
    <cellStyle name="1_total_은파수량집계_설계내역서1월7일_백화점화장실인테리어" xfId="466" xr:uid="{00000000-0005-0000-0000-0000D1010000}"/>
    <cellStyle name="1_total_은파수량집계_설계내역서1월7일_백화점화장실인테리어_1-대구상인-7층-031001" xfId="467" xr:uid="{00000000-0005-0000-0000-0000D2010000}"/>
    <cellStyle name="1_total_은파수량집계_설계내역서1월7일_울산FITNESS인테리어" xfId="468" xr:uid="{00000000-0005-0000-0000-0000D3010000}"/>
    <cellStyle name="1_total_은파수량집계_설계내역서1월7일_울산FITNESS인테리어_1-대구상인-7층-031001" xfId="469" xr:uid="{00000000-0005-0000-0000-0000D4010000}"/>
    <cellStyle name="1_total_은파수량집계_설계내역서1월7일_화명조경" xfId="470" xr:uid="{00000000-0005-0000-0000-0000D5010000}"/>
    <cellStyle name="1_total_은파수량집계_설계내역서1월7일_화명조경_1-대구상인-7층-031001" xfId="471" xr:uid="{00000000-0005-0000-0000-0000D6010000}"/>
    <cellStyle name="1_total_은파수량집계_설계내역서1월7일_화명조경_백화점화장실인테리어" xfId="472" xr:uid="{00000000-0005-0000-0000-0000D7010000}"/>
    <cellStyle name="1_total_은파수량집계_설계내역서1월7일_화명조경_백화점화장실인테리어_1-대구상인-7층-031001" xfId="473" xr:uid="{00000000-0005-0000-0000-0000D8010000}"/>
    <cellStyle name="1_total_은파수량집계_설계내역서1월7일_화명조경_울산FITNESS인테리어" xfId="474" xr:uid="{00000000-0005-0000-0000-0000D9010000}"/>
    <cellStyle name="1_total_은파수량집계_설계내역서1월7일_화명조경_울산FITNESS인테리어_1-대구상인-7층-031001" xfId="475" xr:uid="{00000000-0005-0000-0000-0000DA010000}"/>
    <cellStyle name="1_total_은파수량집계_울산FITNESS인테리어" xfId="476" xr:uid="{00000000-0005-0000-0000-0000DB010000}"/>
    <cellStyle name="1_total_은파수량집계_울산FITNESS인테리어_1-대구상인-7층-031001" xfId="477" xr:uid="{00000000-0005-0000-0000-0000DC010000}"/>
    <cellStyle name="1_total_은파수량집계_화명조경" xfId="478" xr:uid="{00000000-0005-0000-0000-0000DD010000}"/>
    <cellStyle name="1_total_은파수량집계_화명조경_1-대구상인-7층-031001" xfId="479" xr:uid="{00000000-0005-0000-0000-0000DE010000}"/>
    <cellStyle name="1_total_은파수량집계_화명조경_백화점화장실인테리어" xfId="480" xr:uid="{00000000-0005-0000-0000-0000DF010000}"/>
    <cellStyle name="1_total_은파수량집계_화명조경_백화점화장실인테리어_1-대구상인-7층-031001" xfId="481" xr:uid="{00000000-0005-0000-0000-0000E0010000}"/>
    <cellStyle name="1_total_은파수량집계_화명조경_울산FITNESS인테리어" xfId="482" xr:uid="{00000000-0005-0000-0000-0000E1010000}"/>
    <cellStyle name="1_total_은파수량집계_화명조경_울산FITNESS인테리어_1-대구상인-7층-031001" xfId="483" xr:uid="{00000000-0005-0000-0000-0000E2010000}"/>
    <cellStyle name="1_total_터미널1-0" xfId="484" xr:uid="{00000000-0005-0000-0000-0000E3010000}"/>
    <cellStyle name="1_total_터미널1-0_1-대구상인-7층-031001" xfId="485" xr:uid="{00000000-0005-0000-0000-0000E4010000}"/>
    <cellStyle name="1_total_터미널1-0_백화점화장실인테리어" xfId="486" xr:uid="{00000000-0005-0000-0000-0000E5010000}"/>
    <cellStyle name="1_total_터미널1-0_백화점화장실인테리어_1-대구상인-7층-031001" xfId="487" xr:uid="{00000000-0005-0000-0000-0000E6010000}"/>
    <cellStyle name="1_total_터미널1-0_울산FITNESS인테리어" xfId="488" xr:uid="{00000000-0005-0000-0000-0000E7010000}"/>
    <cellStyle name="1_total_터미널1-0_울산FITNESS인테리어_1-대구상인-7층-031001" xfId="489" xr:uid="{00000000-0005-0000-0000-0000E8010000}"/>
    <cellStyle name="1_total_터미널1-0_화명조경" xfId="490" xr:uid="{00000000-0005-0000-0000-0000E9010000}"/>
    <cellStyle name="1_total_터미널1-0_화명조경_1-대구상인-7층-031001" xfId="491" xr:uid="{00000000-0005-0000-0000-0000EA010000}"/>
    <cellStyle name="1_total_터미널1-0_화명조경_백화점화장실인테리어" xfId="492" xr:uid="{00000000-0005-0000-0000-0000EB010000}"/>
    <cellStyle name="1_total_터미널1-0_화명조경_백화점화장실인테리어_1-대구상인-7층-031001" xfId="493" xr:uid="{00000000-0005-0000-0000-0000EC010000}"/>
    <cellStyle name="1_total_터미널1-0_화명조경_울산FITNESS인테리어" xfId="494" xr:uid="{00000000-0005-0000-0000-0000ED010000}"/>
    <cellStyle name="1_total_터미널1-0_화명조경_울산FITNESS인테리어_1-대구상인-7층-031001" xfId="495" xr:uid="{00000000-0005-0000-0000-0000EE010000}"/>
    <cellStyle name="1_total_화명조경" xfId="496" xr:uid="{00000000-0005-0000-0000-0000EF010000}"/>
    <cellStyle name="1_total_화명조경_1-대구상인-7층-031001" xfId="497" xr:uid="{00000000-0005-0000-0000-0000F0010000}"/>
    <cellStyle name="1_total_화명조경_백화점화장실인테리어" xfId="498" xr:uid="{00000000-0005-0000-0000-0000F1010000}"/>
    <cellStyle name="1_total_화명조경_백화점화장실인테리어_1-대구상인-7층-031001" xfId="499" xr:uid="{00000000-0005-0000-0000-0000F2010000}"/>
    <cellStyle name="1_total_화명조경_울산FITNESS인테리어" xfId="500" xr:uid="{00000000-0005-0000-0000-0000F3010000}"/>
    <cellStyle name="1_total_화명조경_울산FITNESS인테리어_1-대구상인-7층-031001" xfId="501" xr:uid="{00000000-0005-0000-0000-0000F4010000}"/>
    <cellStyle name="1_tree" xfId="502" xr:uid="{00000000-0005-0000-0000-0000F5010000}"/>
    <cellStyle name="1_tree_1-대구상인-7층-031001" xfId="503" xr:uid="{00000000-0005-0000-0000-0000F6010000}"/>
    <cellStyle name="1_tree_갑지0601" xfId="504" xr:uid="{00000000-0005-0000-0000-0000F7010000}"/>
    <cellStyle name="1_tree_갑지0601_00갑지" xfId="505" xr:uid="{00000000-0005-0000-0000-0000F8010000}"/>
    <cellStyle name="1_tree_갑지0601_00갑지_1-대구상인-7층-031001" xfId="506" xr:uid="{00000000-0005-0000-0000-0000F9010000}"/>
    <cellStyle name="1_tree_갑지0601_00갑지_백화점화장실인테리어" xfId="507" xr:uid="{00000000-0005-0000-0000-0000FA010000}"/>
    <cellStyle name="1_tree_갑지0601_00갑지_백화점화장실인테리어_1-대구상인-7층-031001" xfId="508" xr:uid="{00000000-0005-0000-0000-0000FB010000}"/>
    <cellStyle name="1_tree_갑지0601_00갑지_설계내역서" xfId="509" xr:uid="{00000000-0005-0000-0000-0000FC010000}"/>
    <cellStyle name="1_tree_갑지0601_00갑지_설계내역서_1-대구상인-7층-031001" xfId="510" xr:uid="{00000000-0005-0000-0000-0000FD010000}"/>
    <cellStyle name="1_tree_갑지0601_00갑지_설계내역서_백화점화장실인테리어" xfId="511" xr:uid="{00000000-0005-0000-0000-0000FE010000}"/>
    <cellStyle name="1_tree_갑지0601_00갑지_설계내역서_백화점화장실인테리어_1-대구상인-7층-031001" xfId="512" xr:uid="{00000000-0005-0000-0000-0000FF010000}"/>
    <cellStyle name="1_tree_갑지0601_00갑지_설계내역서_울산FITNESS인테리어" xfId="513" xr:uid="{00000000-0005-0000-0000-000000020000}"/>
    <cellStyle name="1_tree_갑지0601_00갑지_설계내역서_울산FITNESS인테리어_1-대구상인-7층-031001" xfId="514" xr:uid="{00000000-0005-0000-0000-000001020000}"/>
    <cellStyle name="1_tree_갑지0601_00갑지_설계내역서_화명조경" xfId="515" xr:uid="{00000000-0005-0000-0000-000002020000}"/>
    <cellStyle name="1_tree_갑지0601_00갑지_설계내역서_화명조경_1-대구상인-7층-031001" xfId="516" xr:uid="{00000000-0005-0000-0000-000003020000}"/>
    <cellStyle name="1_tree_갑지0601_00갑지_설계내역서_화명조경_백화점화장실인테리어" xfId="517" xr:uid="{00000000-0005-0000-0000-000004020000}"/>
    <cellStyle name="1_tree_갑지0601_00갑지_설계내역서_화명조경_백화점화장실인테리어_1-대구상인-7층-031001" xfId="518" xr:uid="{00000000-0005-0000-0000-000005020000}"/>
    <cellStyle name="1_tree_갑지0601_00갑지_설계내역서_화명조경_울산FITNESS인테리어" xfId="519" xr:uid="{00000000-0005-0000-0000-000006020000}"/>
    <cellStyle name="1_tree_갑지0601_00갑지_설계내역서_화명조경_울산FITNESS인테리어_1-대구상인-7층-031001" xfId="520" xr:uid="{00000000-0005-0000-0000-000007020000}"/>
    <cellStyle name="1_tree_갑지0601_00갑지_설계내역서1월7일" xfId="521" xr:uid="{00000000-0005-0000-0000-000008020000}"/>
    <cellStyle name="1_tree_갑지0601_00갑지_설계내역서1월7일_1-대구상인-7층-031001" xfId="522" xr:uid="{00000000-0005-0000-0000-000009020000}"/>
    <cellStyle name="1_tree_갑지0601_00갑지_설계내역서1월7일_백화점화장실인테리어" xfId="523" xr:uid="{00000000-0005-0000-0000-00000A020000}"/>
    <cellStyle name="1_tree_갑지0601_00갑지_설계내역서1월7일_백화점화장실인테리어_1-대구상인-7층-031001" xfId="524" xr:uid="{00000000-0005-0000-0000-00000B020000}"/>
    <cellStyle name="1_tree_갑지0601_00갑지_설계내역서1월7일_울산FITNESS인테리어" xfId="525" xr:uid="{00000000-0005-0000-0000-00000C020000}"/>
    <cellStyle name="1_tree_갑지0601_00갑지_설계내역서1월7일_울산FITNESS인테리어_1-대구상인-7층-031001" xfId="526" xr:uid="{00000000-0005-0000-0000-00000D020000}"/>
    <cellStyle name="1_tree_갑지0601_00갑지_설계내역서1월7일_화명조경" xfId="527" xr:uid="{00000000-0005-0000-0000-00000E020000}"/>
    <cellStyle name="1_tree_갑지0601_00갑지_설계내역서1월7일_화명조경_1-대구상인-7층-031001" xfId="528" xr:uid="{00000000-0005-0000-0000-00000F020000}"/>
    <cellStyle name="1_tree_갑지0601_00갑지_설계내역서1월7일_화명조경_백화점화장실인테리어" xfId="529" xr:uid="{00000000-0005-0000-0000-000010020000}"/>
    <cellStyle name="1_tree_갑지0601_00갑지_설계내역서1월7일_화명조경_백화점화장실인테리어_1-대구상인-7층-031001" xfId="530" xr:uid="{00000000-0005-0000-0000-000011020000}"/>
    <cellStyle name="1_tree_갑지0601_00갑지_설계내역서1월7일_화명조경_울산FITNESS인테리어" xfId="531" xr:uid="{00000000-0005-0000-0000-000012020000}"/>
    <cellStyle name="1_tree_갑지0601_00갑지_설계내역서1월7일_화명조경_울산FITNESS인테리어_1-대구상인-7층-031001" xfId="532" xr:uid="{00000000-0005-0000-0000-000013020000}"/>
    <cellStyle name="1_tree_갑지0601_00갑지_울산FITNESS인테리어" xfId="533" xr:uid="{00000000-0005-0000-0000-000014020000}"/>
    <cellStyle name="1_tree_갑지0601_00갑지_울산FITNESS인테리어_1-대구상인-7층-031001" xfId="534" xr:uid="{00000000-0005-0000-0000-000015020000}"/>
    <cellStyle name="1_tree_갑지0601_00갑지_화명조경" xfId="535" xr:uid="{00000000-0005-0000-0000-000016020000}"/>
    <cellStyle name="1_tree_갑지0601_00갑지_화명조경_1-대구상인-7층-031001" xfId="536" xr:uid="{00000000-0005-0000-0000-000017020000}"/>
    <cellStyle name="1_tree_갑지0601_00갑지_화명조경_백화점화장실인테리어" xfId="537" xr:uid="{00000000-0005-0000-0000-000018020000}"/>
    <cellStyle name="1_tree_갑지0601_00갑지_화명조경_백화점화장실인테리어_1-대구상인-7층-031001" xfId="538" xr:uid="{00000000-0005-0000-0000-000019020000}"/>
    <cellStyle name="1_tree_갑지0601_00갑지_화명조경_울산FITNESS인테리어" xfId="539" xr:uid="{00000000-0005-0000-0000-00001A020000}"/>
    <cellStyle name="1_tree_갑지0601_00갑지_화명조경_울산FITNESS인테리어_1-대구상인-7층-031001" xfId="540" xr:uid="{00000000-0005-0000-0000-00001B020000}"/>
    <cellStyle name="1_tree_갑지0601_1-대구상인-7층-031001" xfId="541" xr:uid="{00000000-0005-0000-0000-00001C020000}"/>
    <cellStyle name="1_tree_갑지0601_과천놀이터설계서" xfId="542" xr:uid="{00000000-0005-0000-0000-00001D020000}"/>
    <cellStyle name="1_tree_갑지0601_과천놀이터설계서_1-대구상인-7층-031001" xfId="543" xr:uid="{00000000-0005-0000-0000-00001E020000}"/>
    <cellStyle name="1_tree_갑지0601_과천놀이터설계서_백화점화장실인테리어" xfId="544" xr:uid="{00000000-0005-0000-0000-00001F020000}"/>
    <cellStyle name="1_tree_갑지0601_과천놀이터설계서_백화점화장실인테리어_1-대구상인-7층-031001" xfId="545" xr:uid="{00000000-0005-0000-0000-000020020000}"/>
    <cellStyle name="1_tree_갑지0601_과천놀이터설계서_설계내역서" xfId="546" xr:uid="{00000000-0005-0000-0000-000021020000}"/>
    <cellStyle name="1_tree_갑지0601_과천놀이터설계서_설계내역서_1-대구상인-7층-031001" xfId="547" xr:uid="{00000000-0005-0000-0000-000022020000}"/>
    <cellStyle name="1_tree_갑지0601_과천놀이터설계서_설계내역서_백화점화장실인테리어" xfId="548" xr:uid="{00000000-0005-0000-0000-000023020000}"/>
    <cellStyle name="1_tree_갑지0601_과천놀이터설계서_설계내역서_백화점화장실인테리어_1-대구상인-7층-031001" xfId="549" xr:uid="{00000000-0005-0000-0000-000024020000}"/>
    <cellStyle name="1_tree_갑지0601_과천놀이터설계서_설계내역서_울산FITNESS인테리어" xfId="550" xr:uid="{00000000-0005-0000-0000-000025020000}"/>
    <cellStyle name="1_tree_갑지0601_과천놀이터설계서_설계내역서_울산FITNESS인테리어_1-대구상인-7층-031001" xfId="551" xr:uid="{00000000-0005-0000-0000-000026020000}"/>
    <cellStyle name="1_tree_갑지0601_과천놀이터설계서_설계내역서_화명조경" xfId="552" xr:uid="{00000000-0005-0000-0000-000027020000}"/>
    <cellStyle name="1_tree_갑지0601_과천놀이터설계서_설계내역서_화명조경_1-대구상인-7층-031001" xfId="553" xr:uid="{00000000-0005-0000-0000-000028020000}"/>
    <cellStyle name="1_tree_갑지0601_과천놀이터설계서_설계내역서_화명조경_백화점화장실인테리어" xfId="554" xr:uid="{00000000-0005-0000-0000-000029020000}"/>
    <cellStyle name="1_tree_갑지0601_과천놀이터설계서_설계내역서_화명조경_백화점화장실인테리어_1-대구상인-7층-031001" xfId="555" xr:uid="{00000000-0005-0000-0000-00002A020000}"/>
    <cellStyle name="1_tree_갑지0601_과천놀이터설계서_설계내역서_화명조경_울산FITNESS인테리어" xfId="556" xr:uid="{00000000-0005-0000-0000-00002B020000}"/>
    <cellStyle name="1_tree_갑지0601_과천놀이터설계서_설계내역서_화명조경_울산FITNESS인테리어_1-대구상인-7층-031001" xfId="557" xr:uid="{00000000-0005-0000-0000-00002C020000}"/>
    <cellStyle name="1_tree_갑지0601_과천놀이터설계서_설계내역서1월7일" xfId="558" xr:uid="{00000000-0005-0000-0000-00002D020000}"/>
    <cellStyle name="1_tree_갑지0601_과천놀이터설계서_설계내역서1월7일_1-대구상인-7층-031001" xfId="559" xr:uid="{00000000-0005-0000-0000-00002E020000}"/>
    <cellStyle name="1_tree_갑지0601_과천놀이터설계서_설계내역서1월7일_백화점화장실인테리어" xfId="560" xr:uid="{00000000-0005-0000-0000-00002F020000}"/>
    <cellStyle name="1_tree_갑지0601_과천놀이터설계서_설계내역서1월7일_백화점화장실인테리어_1-대구상인-7층-031001" xfId="561" xr:uid="{00000000-0005-0000-0000-000030020000}"/>
    <cellStyle name="1_tree_갑지0601_과천놀이터설계서_설계내역서1월7일_울산FITNESS인테리어" xfId="562" xr:uid="{00000000-0005-0000-0000-000031020000}"/>
    <cellStyle name="1_tree_갑지0601_과천놀이터설계서_설계내역서1월7일_울산FITNESS인테리어_1-대구상인-7층-031001" xfId="563" xr:uid="{00000000-0005-0000-0000-000032020000}"/>
    <cellStyle name="1_tree_갑지0601_과천놀이터설계서_설계내역서1월7일_화명조경" xfId="564" xr:uid="{00000000-0005-0000-0000-000033020000}"/>
    <cellStyle name="1_tree_갑지0601_과천놀이터설계서_설계내역서1월7일_화명조경_1-대구상인-7층-031001" xfId="565" xr:uid="{00000000-0005-0000-0000-000034020000}"/>
    <cellStyle name="1_tree_갑지0601_과천놀이터설계서_설계내역서1월7일_화명조경_백화점화장실인테리어" xfId="566" xr:uid="{00000000-0005-0000-0000-000035020000}"/>
    <cellStyle name="1_tree_갑지0601_과천놀이터설계서_설계내역서1월7일_화명조경_백화점화장실인테리어_1-대구상인-7층-031001" xfId="567" xr:uid="{00000000-0005-0000-0000-000036020000}"/>
    <cellStyle name="1_tree_갑지0601_과천놀이터설계서_설계내역서1월7일_화명조경_울산FITNESS인테리어" xfId="568" xr:uid="{00000000-0005-0000-0000-000037020000}"/>
    <cellStyle name="1_tree_갑지0601_과천놀이터설계서_설계내역서1월7일_화명조경_울산FITNESS인테리어_1-대구상인-7층-031001" xfId="569" xr:uid="{00000000-0005-0000-0000-000038020000}"/>
    <cellStyle name="1_tree_갑지0601_과천놀이터설계서_울산FITNESS인테리어" xfId="570" xr:uid="{00000000-0005-0000-0000-000039020000}"/>
    <cellStyle name="1_tree_갑지0601_과천놀이터설계서_울산FITNESS인테리어_1-대구상인-7층-031001" xfId="571" xr:uid="{00000000-0005-0000-0000-00003A020000}"/>
    <cellStyle name="1_tree_갑지0601_과천놀이터설계서_화명조경" xfId="572" xr:uid="{00000000-0005-0000-0000-00003B020000}"/>
    <cellStyle name="1_tree_갑지0601_과천놀이터설계서_화명조경_1-대구상인-7층-031001" xfId="573" xr:uid="{00000000-0005-0000-0000-00003C020000}"/>
    <cellStyle name="1_tree_갑지0601_과천놀이터설계서_화명조경_백화점화장실인테리어" xfId="574" xr:uid="{00000000-0005-0000-0000-00003D020000}"/>
    <cellStyle name="1_tree_갑지0601_과천놀이터설계서_화명조경_백화점화장실인테리어_1-대구상인-7층-031001" xfId="575" xr:uid="{00000000-0005-0000-0000-00003E020000}"/>
    <cellStyle name="1_tree_갑지0601_과천놀이터설계서_화명조경_울산FITNESS인테리어" xfId="576" xr:uid="{00000000-0005-0000-0000-00003F020000}"/>
    <cellStyle name="1_tree_갑지0601_과천놀이터설계서_화명조경_울산FITNESS인테리어_1-대구상인-7층-031001" xfId="577" xr:uid="{00000000-0005-0000-0000-000040020000}"/>
    <cellStyle name="1_tree_갑지0601_백화점화장실인테리어" xfId="578" xr:uid="{00000000-0005-0000-0000-000041020000}"/>
    <cellStyle name="1_tree_갑지0601_백화점화장실인테리어_1-대구상인-7층-031001" xfId="579" xr:uid="{00000000-0005-0000-0000-000042020000}"/>
    <cellStyle name="1_tree_갑지0601_울산FITNESS인테리어" xfId="580" xr:uid="{00000000-0005-0000-0000-000043020000}"/>
    <cellStyle name="1_tree_갑지0601_울산FITNESS인테리어_1-대구상인-7층-031001" xfId="581" xr:uid="{00000000-0005-0000-0000-000044020000}"/>
    <cellStyle name="1_tree_갑지0601_총괄갑지" xfId="582" xr:uid="{00000000-0005-0000-0000-000045020000}"/>
    <cellStyle name="1_tree_갑지0601_총괄갑지_1-대구상인-7층-031001" xfId="583" xr:uid="{00000000-0005-0000-0000-000046020000}"/>
    <cellStyle name="1_tree_갑지0601_총괄갑지_백화점화장실인테리어" xfId="584" xr:uid="{00000000-0005-0000-0000-000047020000}"/>
    <cellStyle name="1_tree_갑지0601_총괄갑지_백화점화장실인테리어_1-대구상인-7층-031001" xfId="585" xr:uid="{00000000-0005-0000-0000-000048020000}"/>
    <cellStyle name="1_tree_갑지0601_총괄갑지_설계내역서" xfId="586" xr:uid="{00000000-0005-0000-0000-000049020000}"/>
    <cellStyle name="1_tree_갑지0601_총괄갑지_설계내역서_1-대구상인-7층-031001" xfId="587" xr:uid="{00000000-0005-0000-0000-00004A020000}"/>
    <cellStyle name="1_tree_갑지0601_총괄갑지_설계내역서_백화점화장실인테리어" xfId="588" xr:uid="{00000000-0005-0000-0000-00004B020000}"/>
    <cellStyle name="1_tree_갑지0601_총괄갑지_설계내역서_백화점화장실인테리어_1-대구상인-7층-031001" xfId="589" xr:uid="{00000000-0005-0000-0000-00004C020000}"/>
    <cellStyle name="1_tree_갑지0601_총괄갑지_설계내역서_울산FITNESS인테리어" xfId="590" xr:uid="{00000000-0005-0000-0000-00004D020000}"/>
    <cellStyle name="1_tree_갑지0601_총괄갑지_설계내역서_울산FITNESS인테리어_1-대구상인-7층-031001" xfId="591" xr:uid="{00000000-0005-0000-0000-00004E020000}"/>
    <cellStyle name="1_tree_갑지0601_총괄갑지_설계내역서_화명조경" xfId="592" xr:uid="{00000000-0005-0000-0000-00004F020000}"/>
    <cellStyle name="1_tree_갑지0601_총괄갑지_설계내역서_화명조경_1-대구상인-7층-031001" xfId="593" xr:uid="{00000000-0005-0000-0000-000050020000}"/>
    <cellStyle name="1_tree_갑지0601_총괄갑지_설계내역서_화명조경_백화점화장실인테리어" xfId="594" xr:uid="{00000000-0005-0000-0000-000051020000}"/>
    <cellStyle name="1_tree_갑지0601_총괄갑지_설계내역서_화명조경_백화점화장실인테리어_1-대구상인-7층-031001" xfId="595" xr:uid="{00000000-0005-0000-0000-000052020000}"/>
    <cellStyle name="1_tree_갑지0601_총괄갑지_설계내역서_화명조경_울산FITNESS인테리어" xfId="596" xr:uid="{00000000-0005-0000-0000-000053020000}"/>
    <cellStyle name="1_tree_갑지0601_총괄갑지_설계내역서_화명조경_울산FITNESS인테리어_1-대구상인-7층-031001" xfId="597" xr:uid="{00000000-0005-0000-0000-000054020000}"/>
    <cellStyle name="1_tree_갑지0601_총괄갑지_설계내역서1월7일" xfId="598" xr:uid="{00000000-0005-0000-0000-000055020000}"/>
    <cellStyle name="1_tree_갑지0601_총괄갑지_설계내역서1월7일_1-대구상인-7층-031001" xfId="599" xr:uid="{00000000-0005-0000-0000-000056020000}"/>
    <cellStyle name="1_tree_갑지0601_총괄갑지_설계내역서1월7일_백화점화장실인테리어" xfId="600" xr:uid="{00000000-0005-0000-0000-000057020000}"/>
    <cellStyle name="1_tree_갑지0601_총괄갑지_설계내역서1월7일_백화점화장실인테리어_1-대구상인-7층-031001" xfId="601" xr:uid="{00000000-0005-0000-0000-000058020000}"/>
    <cellStyle name="1_tree_갑지0601_총괄갑지_설계내역서1월7일_울산FITNESS인테리어" xfId="602" xr:uid="{00000000-0005-0000-0000-000059020000}"/>
    <cellStyle name="1_tree_갑지0601_총괄갑지_설계내역서1월7일_울산FITNESS인테리어_1-대구상인-7층-031001" xfId="603" xr:uid="{00000000-0005-0000-0000-00005A020000}"/>
    <cellStyle name="1_tree_갑지0601_총괄갑지_설계내역서1월7일_화명조경" xfId="604" xr:uid="{00000000-0005-0000-0000-00005B020000}"/>
    <cellStyle name="1_tree_갑지0601_총괄갑지_설계내역서1월7일_화명조경_1-대구상인-7층-031001" xfId="605" xr:uid="{00000000-0005-0000-0000-00005C020000}"/>
    <cellStyle name="1_tree_갑지0601_총괄갑지_설계내역서1월7일_화명조경_백화점화장실인테리어" xfId="606" xr:uid="{00000000-0005-0000-0000-00005D020000}"/>
    <cellStyle name="1_tree_갑지0601_총괄갑지_설계내역서1월7일_화명조경_백화점화장실인테리어_1-대구상인-7층-031001" xfId="607" xr:uid="{00000000-0005-0000-0000-00005E020000}"/>
    <cellStyle name="1_tree_갑지0601_총괄갑지_설계내역서1월7일_화명조경_울산FITNESS인테리어" xfId="608" xr:uid="{00000000-0005-0000-0000-00005F020000}"/>
    <cellStyle name="1_tree_갑지0601_총괄갑지_설계내역서1월7일_화명조경_울산FITNESS인테리어_1-대구상인-7층-031001" xfId="609" xr:uid="{00000000-0005-0000-0000-000060020000}"/>
    <cellStyle name="1_tree_갑지0601_총괄갑지_울산FITNESS인테리어" xfId="610" xr:uid="{00000000-0005-0000-0000-000061020000}"/>
    <cellStyle name="1_tree_갑지0601_총괄갑지_울산FITNESS인테리어_1-대구상인-7층-031001" xfId="611" xr:uid="{00000000-0005-0000-0000-000062020000}"/>
    <cellStyle name="1_tree_갑지0601_총괄갑지_화명조경" xfId="612" xr:uid="{00000000-0005-0000-0000-000063020000}"/>
    <cellStyle name="1_tree_갑지0601_총괄갑지_화명조경_1-대구상인-7층-031001" xfId="613" xr:uid="{00000000-0005-0000-0000-000064020000}"/>
    <cellStyle name="1_tree_갑지0601_총괄갑지_화명조경_백화점화장실인테리어" xfId="614" xr:uid="{00000000-0005-0000-0000-000065020000}"/>
    <cellStyle name="1_tree_갑지0601_총괄갑지_화명조경_백화점화장실인테리어_1-대구상인-7층-031001" xfId="615" xr:uid="{00000000-0005-0000-0000-000066020000}"/>
    <cellStyle name="1_tree_갑지0601_총괄갑지_화명조경_울산FITNESS인테리어" xfId="616" xr:uid="{00000000-0005-0000-0000-000067020000}"/>
    <cellStyle name="1_tree_갑지0601_총괄갑지_화명조경_울산FITNESS인테리어_1-대구상인-7층-031001" xfId="617" xr:uid="{00000000-0005-0000-0000-000068020000}"/>
    <cellStyle name="1_tree_갑지0601_총괄내역서" xfId="618" xr:uid="{00000000-0005-0000-0000-000069020000}"/>
    <cellStyle name="1_tree_갑지0601_총괄내역서_1-대구상인-7층-031001" xfId="619" xr:uid="{00000000-0005-0000-0000-00006A020000}"/>
    <cellStyle name="1_tree_갑지0601_총괄내역서_백화점화장실인테리어" xfId="620" xr:uid="{00000000-0005-0000-0000-00006B020000}"/>
    <cellStyle name="1_tree_갑지0601_총괄내역서_백화점화장실인테리어_1-대구상인-7층-031001" xfId="621" xr:uid="{00000000-0005-0000-0000-00006C020000}"/>
    <cellStyle name="1_tree_갑지0601_총괄내역서_설계내역서" xfId="622" xr:uid="{00000000-0005-0000-0000-00006D020000}"/>
    <cellStyle name="1_tree_갑지0601_총괄내역서_설계내역서_1-대구상인-7층-031001" xfId="623" xr:uid="{00000000-0005-0000-0000-00006E020000}"/>
    <cellStyle name="1_tree_갑지0601_총괄내역서_설계내역서_백화점화장실인테리어" xfId="624" xr:uid="{00000000-0005-0000-0000-00006F020000}"/>
    <cellStyle name="1_tree_갑지0601_총괄내역서_설계내역서_백화점화장실인테리어_1-대구상인-7층-031001" xfId="625" xr:uid="{00000000-0005-0000-0000-000070020000}"/>
    <cellStyle name="1_tree_갑지0601_총괄내역서_설계내역서_울산FITNESS인테리어" xfId="626" xr:uid="{00000000-0005-0000-0000-000071020000}"/>
    <cellStyle name="1_tree_갑지0601_총괄내역서_설계내역서_울산FITNESS인테리어_1-대구상인-7층-031001" xfId="627" xr:uid="{00000000-0005-0000-0000-000072020000}"/>
    <cellStyle name="1_tree_갑지0601_총괄내역서_설계내역서_화명조경" xfId="628" xr:uid="{00000000-0005-0000-0000-000073020000}"/>
    <cellStyle name="1_tree_갑지0601_총괄내역서_설계내역서_화명조경_1-대구상인-7층-031001" xfId="629" xr:uid="{00000000-0005-0000-0000-000074020000}"/>
    <cellStyle name="1_tree_갑지0601_총괄내역서_설계내역서_화명조경_백화점화장실인테리어" xfId="630" xr:uid="{00000000-0005-0000-0000-000075020000}"/>
    <cellStyle name="1_tree_갑지0601_총괄내역서_설계내역서_화명조경_백화점화장실인테리어_1-대구상인-7층-031001" xfId="631" xr:uid="{00000000-0005-0000-0000-000076020000}"/>
    <cellStyle name="1_tree_갑지0601_총괄내역서_설계내역서_화명조경_울산FITNESS인테리어" xfId="632" xr:uid="{00000000-0005-0000-0000-000077020000}"/>
    <cellStyle name="1_tree_갑지0601_총괄내역서_설계내역서_화명조경_울산FITNESS인테리어_1-대구상인-7층-031001" xfId="633" xr:uid="{00000000-0005-0000-0000-000078020000}"/>
    <cellStyle name="1_tree_갑지0601_총괄내역서_설계내역서1월7일" xfId="634" xr:uid="{00000000-0005-0000-0000-000079020000}"/>
    <cellStyle name="1_tree_갑지0601_총괄내역서_설계내역서1월7일_1-대구상인-7층-031001" xfId="635" xr:uid="{00000000-0005-0000-0000-00007A020000}"/>
    <cellStyle name="1_tree_갑지0601_총괄내역서_설계내역서1월7일_백화점화장실인테리어" xfId="636" xr:uid="{00000000-0005-0000-0000-00007B020000}"/>
    <cellStyle name="1_tree_갑지0601_총괄내역서_설계내역서1월7일_백화점화장실인테리어_1-대구상인-7층-031001" xfId="637" xr:uid="{00000000-0005-0000-0000-00007C020000}"/>
    <cellStyle name="1_tree_갑지0601_총괄내역서_설계내역서1월7일_울산FITNESS인테리어" xfId="638" xr:uid="{00000000-0005-0000-0000-00007D020000}"/>
    <cellStyle name="1_tree_갑지0601_총괄내역서_설계내역서1월7일_울산FITNESS인테리어_1-대구상인-7층-031001" xfId="639" xr:uid="{00000000-0005-0000-0000-00007E020000}"/>
    <cellStyle name="1_tree_갑지0601_총괄내역서_설계내역서1월7일_화명조경" xfId="640" xr:uid="{00000000-0005-0000-0000-00007F020000}"/>
    <cellStyle name="1_tree_갑지0601_총괄내역서_설계내역서1월7일_화명조경_1-대구상인-7층-031001" xfId="641" xr:uid="{00000000-0005-0000-0000-000080020000}"/>
    <cellStyle name="1_tree_갑지0601_총괄내역서_설계내역서1월7일_화명조경_백화점화장실인테리어" xfId="642" xr:uid="{00000000-0005-0000-0000-000081020000}"/>
    <cellStyle name="1_tree_갑지0601_총괄내역서_설계내역서1월7일_화명조경_백화점화장실인테리어_1-대구상인-7층-031001" xfId="643" xr:uid="{00000000-0005-0000-0000-000082020000}"/>
    <cellStyle name="1_tree_갑지0601_총괄내역서_설계내역서1월7일_화명조경_울산FITNESS인테리어" xfId="644" xr:uid="{00000000-0005-0000-0000-000083020000}"/>
    <cellStyle name="1_tree_갑지0601_총괄내역서_설계내역서1월7일_화명조경_울산FITNESS인테리어_1-대구상인-7층-031001" xfId="645" xr:uid="{00000000-0005-0000-0000-000084020000}"/>
    <cellStyle name="1_tree_갑지0601_총괄내역서_울산FITNESS인테리어" xfId="646" xr:uid="{00000000-0005-0000-0000-000085020000}"/>
    <cellStyle name="1_tree_갑지0601_총괄내역서_울산FITNESS인테리어_1-대구상인-7층-031001" xfId="647" xr:uid="{00000000-0005-0000-0000-000086020000}"/>
    <cellStyle name="1_tree_갑지0601_총괄내역서_화명조경" xfId="648" xr:uid="{00000000-0005-0000-0000-000087020000}"/>
    <cellStyle name="1_tree_갑지0601_총괄내역서_화명조경_1-대구상인-7층-031001" xfId="649" xr:uid="{00000000-0005-0000-0000-000088020000}"/>
    <cellStyle name="1_tree_갑지0601_총괄내역서_화명조경_백화점화장실인테리어" xfId="650" xr:uid="{00000000-0005-0000-0000-000089020000}"/>
    <cellStyle name="1_tree_갑지0601_총괄내역서_화명조경_백화점화장실인테리어_1-대구상인-7층-031001" xfId="651" xr:uid="{00000000-0005-0000-0000-00008A020000}"/>
    <cellStyle name="1_tree_갑지0601_총괄내역서_화명조경_울산FITNESS인테리어" xfId="652" xr:uid="{00000000-0005-0000-0000-00008B020000}"/>
    <cellStyle name="1_tree_갑지0601_총괄내역서_화명조경_울산FITNESS인테리어_1-대구상인-7층-031001" xfId="653" xr:uid="{00000000-0005-0000-0000-00008C020000}"/>
    <cellStyle name="1_tree_갑지0601_화명조경" xfId="654" xr:uid="{00000000-0005-0000-0000-00008D020000}"/>
    <cellStyle name="1_tree_갑지0601_화명조경_1-대구상인-7층-031001" xfId="655" xr:uid="{00000000-0005-0000-0000-00008E020000}"/>
    <cellStyle name="1_tree_갑지0601_화명조경_백화점화장실인테리어" xfId="656" xr:uid="{00000000-0005-0000-0000-00008F020000}"/>
    <cellStyle name="1_tree_갑지0601_화명조경_백화점화장실인테리어_1-대구상인-7층-031001" xfId="657" xr:uid="{00000000-0005-0000-0000-000090020000}"/>
    <cellStyle name="1_tree_갑지0601_화명조경_울산FITNESS인테리어" xfId="658" xr:uid="{00000000-0005-0000-0000-000091020000}"/>
    <cellStyle name="1_tree_갑지0601_화명조경_울산FITNESS인테리어_1-대구상인-7층-031001" xfId="659" xr:uid="{00000000-0005-0000-0000-000092020000}"/>
    <cellStyle name="1_tree_남해총괄표" xfId="660" xr:uid="{00000000-0005-0000-0000-000093020000}"/>
    <cellStyle name="1_tree_남해총괄표_1-대구상인-7층-031001" xfId="661" xr:uid="{00000000-0005-0000-0000-000094020000}"/>
    <cellStyle name="1_tree_남해총괄표_백화점화장실인테리어" xfId="662" xr:uid="{00000000-0005-0000-0000-000095020000}"/>
    <cellStyle name="1_tree_남해총괄표_백화점화장실인테리어_1-대구상인-7층-031001" xfId="663" xr:uid="{00000000-0005-0000-0000-000096020000}"/>
    <cellStyle name="1_tree_남해총괄표_설계내역서" xfId="664" xr:uid="{00000000-0005-0000-0000-000097020000}"/>
    <cellStyle name="1_tree_남해총괄표_설계내역서_1-대구상인-7층-031001" xfId="665" xr:uid="{00000000-0005-0000-0000-000098020000}"/>
    <cellStyle name="1_tree_남해총괄표_설계내역서_백화점화장실인테리어" xfId="666" xr:uid="{00000000-0005-0000-0000-000099020000}"/>
    <cellStyle name="1_tree_남해총괄표_설계내역서_백화점화장실인테리어_1-대구상인-7층-031001" xfId="667" xr:uid="{00000000-0005-0000-0000-00009A020000}"/>
    <cellStyle name="1_tree_남해총괄표_설계내역서_울산FITNESS인테리어" xfId="668" xr:uid="{00000000-0005-0000-0000-00009B020000}"/>
    <cellStyle name="1_tree_남해총괄표_설계내역서_울산FITNESS인테리어_1-대구상인-7층-031001" xfId="669" xr:uid="{00000000-0005-0000-0000-00009C020000}"/>
    <cellStyle name="1_tree_남해총괄표_설계내역서_화명조경" xfId="670" xr:uid="{00000000-0005-0000-0000-00009D020000}"/>
    <cellStyle name="1_tree_남해총괄표_설계내역서_화명조경_1-대구상인-7층-031001" xfId="671" xr:uid="{00000000-0005-0000-0000-00009E020000}"/>
    <cellStyle name="1_tree_남해총괄표_설계내역서_화명조경_백화점화장실인테리어" xfId="672" xr:uid="{00000000-0005-0000-0000-00009F020000}"/>
    <cellStyle name="1_tree_남해총괄표_설계내역서_화명조경_백화점화장실인테리어_1-대구상인-7층-031001" xfId="673" xr:uid="{00000000-0005-0000-0000-0000A0020000}"/>
    <cellStyle name="1_tree_남해총괄표_설계내역서_화명조경_울산FITNESS인테리어" xfId="674" xr:uid="{00000000-0005-0000-0000-0000A1020000}"/>
    <cellStyle name="1_tree_남해총괄표_설계내역서_화명조경_울산FITNESS인테리어_1-대구상인-7층-031001" xfId="675" xr:uid="{00000000-0005-0000-0000-0000A2020000}"/>
    <cellStyle name="1_tree_남해총괄표_설계내역서1월7일" xfId="676" xr:uid="{00000000-0005-0000-0000-0000A3020000}"/>
    <cellStyle name="1_tree_남해총괄표_설계내역서1월7일_1-대구상인-7층-031001" xfId="677" xr:uid="{00000000-0005-0000-0000-0000A4020000}"/>
    <cellStyle name="1_tree_남해총괄표_설계내역서1월7일_백화점화장실인테리어" xfId="678" xr:uid="{00000000-0005-0000-0000-0000A5020000}"/>
    <cellStyle name="1_tree_남해총괄표_설계내역서1월7일_백화점화장실인테리어_1-대구상인-7층-031001" xfId="679" xr:uid="{00000000-0005-0000-0000-0000A6020000}"/>
    <cellStyle name="1_tree_남해총괄표_설계내역서1월7일_울산FITNESS인테리어" xfId="680" xr:uid="{00000000-0005-0000-0000-0000A7020000}"/>
    <cellStyle name="1_tree_남해총괄표_설계내역서1월7일_울산FITNESS인테리어_1-대구상인-7층-031001" xfId="681" xr:uid="{00000000-0005-0000-0000-0000A8020000}"/>
    <cellStyle name="1_tree_남해총괄표_설계내역서1월7일_화명조경" xfId="682" xr:uid="{00000000-0005-0000-0000-0000A9020000}"/>
    <cellStyle name="1_tree_남해총괄표_설계내역서1월7일_화명조경_1-대구상인-7층-031001" xfId="683" xr:uid="{00000000-0005-0000-0000-0000AA020000}"/>
    <cellStyle name="1_tree_남해총괄표_설계내역서1월7일_화명조경_백화점화장실인테리어" xfId="684" xr:uid="{00000000-0005-0000-0000-0000AB020000}"/>
    <cellStyle name="1_tree_남해총괄표_설계내역서1월7일_화명조경_백화점화장실인테리어_1-대구상인-7층-031001" xfId="685" xr:uid="{00000000-0005-0000-0000-0000AC020000}"/>
    <cellStyle name="1_tree_남해총괄표_설계내역서1월7일_화명조경_울산FITNESS인테리어" xfId="686" xr:uid="{00000000-0005-0000-0000-0000AD020000}"/>
    <cellStyle name="1_tree_남해총괄표_설계내역서1월7일_화명조경_울산FITNESS인테리어_1-대구상인-7층-031001" xfId="687" xr:uid="{00000000-0005-0000-0000-0000AE020000}"/>
    <cellStyle name="1_tree_남해총괄표_울산FITNESS인테리어" xfId="688" xr:uid="{00000000-0005-0000-0000-0000AF020000}"/>
    <cellStyle name="1_tree_남해총괄표_울산FITNESS인테리어_1-대구상인-7층-031001" xfId="689" xr:uid="{00000000-0005-0000-0000-0000B0020000}"/>
    <cellStyle name="1_tree_남해총괄표_화명조경" xfId="690" xr:uid="{00000000-0005-0000-0000-0000B1020000}"/>
    <cellStyle name="1_tree_남해총괄표_화명조경_1-대구상인-7층-031001" xfId="691" xr:uid="{00000000-0005-0000-0000-0000B2020000}"/>
    <cellStyle name="1_tree_남해총괄표_화명조경_백화점화장실인테리어" xfId="692" xr:uid="{00000000-0005-0000-0000-0000B3020000}"/>
    <cellStyle name="1_tree_남해총괄표_화명조경_백화점화장실인테리어_1-대구상인-7층-031001" xfId="693" xr:uid="{00000000-0005-0000-0000-0000B4020000}"/>
    <cellStyle name="1_tree_남해총괄표_화명조경_울산FITNESS인테리어" xfId="694" xr:uid="{00000000-0005-0000-0000-0000B5020000}"/>
    <cellStyle name="1_tree_남해총괄표_화명조경_울산FITNESS인테리어_1-대구상인-7층-031001" xfId="695" xr:uid="{00000000-0005-0000-0000-0000B6020000}"/>
    <cellStyle name="1_tree_마운딩수량" xfId="696" xr:uid="{00000000-0005-0000-0000-0000B7020000}"/>
    <cellStyle name="1_tree_마운딩수량_1-대구상인-7층-031001" xfId="697" xr:uid="{00000000-0005-0000-0000-0000B8020000}"/>
    <cellStyle name="1_tree_마운딩수량_갑지0601" xfId="698" xr:uid="{00000000-0005-0000-0000-0000B9020000}"/>
    <cellStyle name="1_tree_마운딩수량_갑지0601_00갑지" xfId="699" xr:uid="{00000000-0005-0000-0000-0000BA020000}"/>
    <cellStyle name="1_tree_마운딩수량_갑지0601_00갑지_1-대구상인-7층-031001" xfId="700" xr:uid="{00000000-0005-0000-0000-0000BB020000}"/>
    <cellStyle name="1_tree_마운딩수량_갑지0601_00갑지_백화점화장실인테리어" xfId="701" xr:uid="{00000000-0005-0000-0000-0000BC020000}"/>
    <cellStyle name="1_tree_마운딩수량_갑지0601_00갑지_백화점화장실인테리어_1-대구상인-7층-031001" xfId="702" xr:uid="{00000000-0005-0000-0000-0000BD020000}"/>
    <cellStyle name="1_tree_마운딩수량_갑지0601_00갑지_설계내역서" xfId="703" xr:uid="{00000000-0005-0000-0000-0000BE020000}"/>
    <cellStyle name="1_tree_마운딩수량_갑지0601_00갑지_설계내역서_1-대구상인-7층-031001" xfId="704" xr:uid="{00000000-0005-0000-0000-0000BF020000}"/>
    <cellStyle name="1_tree_마운딩수량_갑지0601_00갑지_설계내역서_백화점화장실인테리어" xfId="705" xr:uid="{00000000-0005-0000-0000-0000C0020000}"/>
    <cellStyle name="1_tree_마운딩수량_갑지0601_00갑지_설계내역서_백화점화장실인테리어_1-대구상인-7층-031001" xfId="706" xr:uid="{00000000-0005-0000-0000-0000C1020000}"/>
    <cellStyle name="1_tree_마운딩수량_갑지0601_00갑지_설계내역서_울산FITNESS인테리어" xfId="707" xr:uid="{00000000-0005-0000-0000-0000C2020000}"/>
    <cellStyle name="1_tree_마운딩수량_갑지0601_00갑지_설계내역서_울산FITNESS인테리어_1-대구상인-7층-031001" xfId="708" xr:uid="{00000000-0005-0000-0000-0000C3020000}"/>
    <cellStyle name="1_tree_마운딩수량_갑지0601_00갑지_설계내역서_화명조경" xfId="709" xr:uid="{00000000-0005-0000-0000-0000C4020000}"/>
    <cellStyle name="1_tree_마운딩수량_갑지0601_00갑지_설계내역서_화명조경_1-대구상인-7층-031001" xfId="710" xr:uid="{00000000-0005-0000-0000-0000C5020000}"/>
    <cellStyle name="1_tree_마운딩수량_갑지0601_00갑지_설계내역서_화명조경_백화점화장실인테리어" xfId="711" xr:uid="{00000000-0005-0000-0000-0000C6020000}"/>
    <cellStyle name="1_tree_마운딩수량_갑지0601_00갑지_설계내역서_화명조경_백화점화장실인테리어_1-대구상인-7층-031001" xfId="712" xr:uid="{00000000-0005-0000-0000-0000C7020000}"/>
    <cellStyle name="1_tree_마운딩수량_갑지0601_00갑지_설계내역서_화명조경_울산FITNESS인테리어" xfId="713" xr:uid="{00000000-0005-0000-0000-0000C8020000}"/>
    <cellStyle name="1_tree_마운딩수량_갑지0601_00갑지_설계내역서_화명조경_울산FITNESS인테리어_1-대구상인-7층-031001" xfId="714" xr:uid="{00000000-0005-0000-0000-0000C9020000}"/>
    <cellStyle name="1_tree_마운딩수량_갑지0601_00갑지_설계내역서1월7일" xfId="715" xr:uid="{00000000-0005-0000-0000-0000CA020000}"/>
    <cellStyle name="1_tree_마운딩수량_갑지0601_00갑지_설계내역서1월7일_1-대구상인-7층-031001" xfId="716" xr:uid="{00000000-0005-0000-0000-0000CB020000}"/>
    <cellStyle name="1_tree_마운딩수량_갑지0601_00갑지_설계내역서1월7일_백화점화장실인테리어" xfId="717" xr:uid="{00000000-0005-0000-0000-0000CC020000}"/>
    <cellStyle name="1_tree_마운딩수량_갑지0601_00갑지_설계내역서1월7일_백화점화장실인테리어_1-대구상인-7층-031001" xfId="718" xr:uid="{00000000-0005-0000-0000-0000CD020000}"/>
    <cellStyle name="1_tree_마운딩수량_갑지0601_00갑지_설계내역서1월7일_울산FITNESS인테리어" xfId="719" xr:uid="{00000000-0005-0000-0000-0000CE020000}"/>
    <cellStyle name="1_tree_마운딩수량_갑지0601_00갑지_설계내역서1월7일_울산FITNESS인테리어_1-대구상인-7층-031001" xfId="720" xr:uid="{00000000-0005-0000-0000-0000CF020000}"/>
    <cellStyle name="1_tree_마운딩수량_갑지0601_00갑지_설계내역서1월7일_화명조경" xfId="721" xr:uid="{00000000-0005-0000-0000-0000D0020000}"/>
    <cellStyle name="1_tree_마운딩수량_갑지0601_00갑지_설계내역서1월7일_화명조경_1-대구상인-7층-031001" xfId="722" xr:uid="{00000000-0005-0000-0000-0000D1020000}"/>
    <cellStyle name="1_tree_마운딩수량_갑지0601_00갑지_설계내역서1월7일_화명조경_백화점화장실인테리어" xfId="723" xr:uid="{00000000-0005-0000-0000-0000D2020000}"/>
    <cellStyle name="1_tree_마운딩수량_갑지0601_00갑지_설계내역서1월7일_화명조경_백화점화장실인테리어_1-대구상인-7층-031001" xfId="724" xr:uid="{00000000-0005-0000-0000-0000D3020000}"/>
    <cellStyle name="1_tree_마운딩수량_갑지0601_00갑지_설계내역서1월7일_화명조경_울산FITNESS인테리어" xfId="725" xr:uid="{00000000-0005-0000-0000-0000D4020000}"/>
    <cellStyle name="1_tree_마운딩수량_갑지0601_00갑지_설계내역서1월7일_화명조경_울산FITNESS인테리어_1-대구상인-7층-031001" xfId="726" xr:uid="{00000000-0005-0000-0000-0000D5020000}"/>
    <cellStyle name="1_tree_마운딩수량_갑지0601_00갑지_울산FITNESS인테리어" xfId="727" xr:uid="{00000000-0005-0000-0000-0000D6020000}"/>
    <cellStyle name="1_tree_마운딩수량_갑지0601_00갑지_울산FITNESS인테리어_1-대구상인-7층-031001" xfId="728" xr:uid="{00000000-0005-0000-0000-0000D7020000}"/>
    <cellStyle name="1_tree_마운딩수량_갑지0601_00갑지_화명조경" xfId="729" xr:uid="{00000000-0005-0000-0000-0000D8020000}"/>
    <cellStyle name="1_tree_마운딩수량_갑지0601_00갑지_화명조경_1-대구상인-7층-031001" xfId="730" xr:uid="{00000000-0005-0000-0000-0000D9020000}"/>
    <cellStyle name="1_tree_마운딩수량_갑지0601_00갑지_화명조경_백화점화장실인테리어" xfId="731" xr:uid="{00000000-0005-0000-0000-0000DA020000}"/>
    <cellStyle name="1_tree_마운딩수량_갑지0601_00갑지_화명조경_백화점화장실인테리어_1-대구상인-7층-031001" xfId="732" xr:uid="{00000000-0005-0000-0000-0000DB020000}"/>
    <cellStyle name="1_tree_마운딩수량_갑지0601_00갑지_화명조경_울산FITNESS인테리어" xfId="733" xr:uid="{00000000-0005-0000-0000-0000DC020000}"/>
    <cellStyle name="1_tree_마운딩수량_갑지0601_00갑지_화명조경_울산FITNESS인테리어_1-대구상인-7층-031001" xfId="734" xr:uid="{00000000-0005-0000-0000-0000DD020000}"/>
    <cellStyle name="1_tree_마운딩수량_갑지0601_1-대구상인-7층-031001" xfId="735" xr:uid="{00000000-0005-0000-0000-0000DE020000}"/>
    <cellStyle name="1_tree_마운딩수량_갑지0601_과천놀이터설계서" xfId="736" xr:uid="{00000000-0005-0000-0000-0000DF020000}"/>
    <cellStyle name="1_tree_마운딩수량_갑지0601_과천놀이터설계서_1-대구상인-7층-031001" xfId="737" xr:uid="{00000000-0005-0000-0000-0000E0020000}"/>
    <cellStyle name="1_tree_마운딩수량_갑지0601_과천놀이터설계서_백화점화장실인테리어" xfId="738" xr:uid="{00000000-0005-0000-0000-0000E1020000}"/>
    <cellStyle name="1_tree_마운딩수량_갑지0601_과천놀이터설계서_백화점화장실인테리어_1-대구상인-7층-031001" xfId="739" xr:uid="{00000000-0005-0000-0000-0000E2020000}"/>
    <cellStyle name="1_tree_마운딩수량_갑지0601_과천놀이터설계서_설계내역서" xfId="740" xr:uid="{00000000-0005-0000-0000-0000E3020000}"/>
    <cellStyle name="1_tree_마운딩수량_갑지0601_과천놀이터설계서_설계내역서_1-대구상인-7층-031001" xfId="741" xr:uid="{00000000-0005-0000-0000-0000E4020000}"/>
    <cellStyle name="1_tree_마운딩수량_갑지0601_과천놀이터설계서_설계내역서_백화점화장실인테리어" xfId="742" xr:uid="{00000000-0005-0000-0000-0000E5020000}"/>
    <cellStyle name="1_tree_마운딩수량_갑지0601_과천놀이터설계서_설계내역서_백화점화장실인테리어_1-대구상인-7층-031001" xfId="743" xr:uid="{00000000-0005-0000-0000-0000E6020000}"/>
    <cellStyle name="1_tree_마운딩수량_갑지0601_과천놀이터설계서_설계내역서_울산FITNESS인테리어" xfId="744" xr:uid="{00000000-0005-0000-0000-0000E7020000}"/>
    <cellStyle name="1_tree_마운딩수량_갑지0601_과천놀이터설계서_설계내역서_울산FITNESS인테리어_1-대구상인-7층-031001" xfId="745" xr:uid="{00000000-0005-0000-0000-0000E8020000}"/>
    <cellStyle name="1_tree_마운딩수량_갑지0601_과천놀이터설계서_설계내역서_화명조경" xfId="746" xr:uid="{00000000-0005-0000-0000-0000E9020000}"/>
    <cellStyle name="1_tree_마운딩수량_갑지0601_과천놀이터설계서_설계내역서_화명조경_1-대구상인-7층-031001" xfId="747" xr:uid="{00000000-0005-0000-0000-0000EA020000}"/>
    <cellStyle name="1_tree_마운딩수량_갑지0601_과천놀이터설계서_설계내역서_화명조경_백화점화장실인테리어" xfId="748" xr:uid="{00000000-0005-0000-0000-0000EB020000}"/>
    <cellStyle name="1_tree_마운딩수량_갑지0601_과천놀이터설계서_설계내역서_화명조경_백화점화장실인테리어_1-대구상인-7층-031001" xfId="749" xr:uid="{00000000-0005-0000-0000-0000EC020000}"/>
    <cellStyle name="1_tree_마운딩수량_갑지0601_과천놀이터설계서_설계내역서_화명조경_울산FITNESS인테리어" xfId="750" xr:uid="{00000000-0005-0000-0000-0000ED020000}"/>
    <cellStyle name="1_tree_마운딩수량_갑지0601_과천놀이터설계서_설계내역서_화명조경_울산FITNESS인테리어_1-대구상인-7층-031001" xfId="751" xr:uid="{00000000-0005-0000-0000-0000EE020000}"/>
    <cellStyle name="1_tree_마운딩수량_갑지0601_과천놀이터설계서_설계내역서1월7일" xfId="752" xr:uid="{00000000-0005-0000-0000-0000EF020000}"/>
    <cellStyle name="1_tree_마운딩수량_갑지0601_과천놀이터설계서_설계내역서1월7일_1-대구상인-7층-031001" xfId="753" xr:uid="{00000000-0005-0000-0000-0000F0020000}"/>
    <cellStyle name="1_tree_마운딩수량_갑지0601_과천놀이터설계서_설계내역서1월7일_백화점화장실인테리어" xfId="754" xr:uid="{00000000-0005-0000-0000-0000F1020000}"/>
    <cellStyle name="1_tree_마운딩수량_갑지0601_과천놀이터설계서_설계내역서1월7일_백화점화장실인테리어_1-대구상인-7층-031001" xfId="755" xr:uid="{00000000-0005-0000-0000-0000F2020000}"/>
    <cellStyle name="1_tree_마운딩수량_갑지0601_과천놀이터설계서_설계내역서1월7일_울산FITNESS인테리어" xfId="756" xr:uid="{00000000-0005-0000-0000-0000F3020000}"/>
    <cellStyle name="1_tree_마운딩수량_갑지0601_과천놀이터설계서_설계내역서1월7일_울산FITNESS인테리어_1-대구상인-7층-031001" xfId="757" xr:uid="{00000000-0005-0000-0000-0000F4020000}"/>
    <cellStyle name="1_tree_마운딩수량_갑지0601_과천놀이터설계서_설계내역서1월7일_화명조경" xfId="758" xr:uid="{00000000-0005-0000-0000-0000F5020000}"/>
    <cellStyle name="1_tree_마운딩수량_갑지0601_과천놀이터설계서_설계내역서1월7일_화명조경_1-대구상인-7층-031001" xfId="759" xr:uid="{00000000-0005-0000-0000-0000F6020000}"/>
    <cellStyle name="1_tree_마운딩수량_갑지0601_과천놀이터설계서_설계내역서1월7일_화명조경_백화점화장실인테리어" xfId="760" xr:uid="{00000000-0005-0000-0000-0000F7020000}"/>
    <cellStyle name="1_tree_마운딩수량_갑지0601_과천놀이터설계서_설계내역서1월7일_화명조경_백화점화장실인테리어_1-대구상인-7층-031001" xfId="761" xr:uid="{00000000-0005-0000-0000-0000F8020000}"/>
    <cellStyle name="1_tree_마운딩수량_갑지0601_과천놀이터설계서_설계내역서1월7일_화명조경_울산FITNESS인테리어" xfId="762" xr:uid="{00000000-0005-0000-0000-0000F9020000}"/>
    <cellStyle name="1_tree_마운딩수량_갑지0601_과천놀이터설계서_설계내역서1월7일_화명조경_울산FITNESS인테리어_1-대구상인-7층-031001" xfId="763" xr:uid="{00000000-0005-0000-0000-0000FA020000}"/>
    <cellStyle name="1_tree_마운딩수량_갑지0601_과천놀이터설계서_울산FITNESS인테리어" xfId="764" xr:uid="{00000000-0005-0000-0000-0000FB020000}"/>
    <cellStyle name="1_tree_마운딩수량_갑지0601_과천놀이터설계서_울산FITNESS인테리어_1-대구상인-7층-031001" xfId="765" xr:uid="{00000000-0005-0000-0000-0000FC020000}"/>
    <cellStyle name="1_tree_마운딩수량_갑지0601_과천놀이터설계서_화명조경" xfId="766" xr:uid="{00000000-0005-0000-0000-0000FD020000}"/>
    <cellStyle name="1_tree_마운딩수량_갑지0601_과천놀이터설계서_화명조경_1-대구상인-7층-031001" xfId="767" xr:uid="{00000000-0005-0000-0000-0000FE020000}"/>
    <cellStyle name="1_tree_마운딩수량_갑지0601_과천놀이터설계서_화명조경_백화점화장실인테리어" xfId="768" xr:uid="{00000000-0005-0000-0000-0000FF020000}"/>
    <cellStyle name="1_tree_마운딩수량_갑지0601_과천놀이터설계서_화명조경_백화점화장실인테리어_1-대구상인-7층-031001" xfId="769" xr:uid="{00000000-0005-0000-0000-000000030000}"/>
    <cellStyle name="1_tree_마운딩수량_갑지0601_과천놀이터설계서_화명조경_울산FITNESS인테리어" xfId="770" xr:uid="{00000000-0005-0000-0000-000001030000}"/>
    <cellStyle name="1_tree_마운딩수량_갑지0601_과천놀이터설계서_화명조경_울산FITNESS인테리어_1-대구상인-7층-031001" xfId="771" xr:uid="{00000000-0005-0000-0000-000002030000}"/>
    <cellStyle name="1_tree_마운딩수량_갑지0601_백화점화장실인테리어" xfId="772" xr:uid="{00000000-0005-0000-0000-000003030000}"/>
    <cellStyle name="1_tree_마운딩수량_갑지0601_백화점화장실인테리어_1-대구상인-7층-031001" xfId="773" xr:uid="{00000000-0005-0000-0000-000004030000}"/>
    <cellStyle name="1_tree_마운딩수량_갑지0601_울산FITNESS인테리어" xfId="774" xr:uid="{00000000-0005-0000-0000-000005030000}"/>
    <cellStyle name="1_tree_마운딩수량_갑지0601_울산FITNESS인테리어_1-대구상인-7층-031001" xfId="775" xr:uid="{00000000-0005-0000-0000-000006030000}"/>
    <cellStyle name="1_tree_마운딩수량_갑지0601_총괄갑지" xfId="776" xr:uid="{00000000-0005-0000-0000-000007030000}"/>
    <cellStyle name="1_tree_마운딩수량_갑지0601_총괄갑지_1-대구상인-7층-031001" xfId="777" xr:uid="{00000000-0005-0000-0000-000008030000}"/>
    <cellStyle name="1_tree_마운딩수량_갑지0601_총괄갑지_백화점화장실인테리어" xfId="778" xr:uid="{00000000-0005-0000-0000-000009030000}"/>
    <cellStyle name="1_tree_마운딩수량_갑지0601_총괄갑지_백화점화장실인테리어_1-대구상인-7층-031001" xfId="779" xr:uid="{00000000-0005-0000-0000-00000A030000}"/>
    <cellStyle name="1_tree_마운딩수량_갑지0601_총괄갑지_설계내역서" xfId="780" xr:uid="{00000000-0005-0000-0000-00000B030000}"/>
    <cellStyle name="1_tree_마운딩수량_갑지0601_총괄갑지_설계내역서_1-대구상인-7층-031001" xfId="781" xr:uid="{00000000-0005-0000-0000-00000C030000}"/>
    <cellStyle name="1_tree_마운딩수량_갑지0601_총괄갑지_설계내역서_백화점화장실인테리어" xfId="782" xr:uid="{00000000-0005-0000-0000-00000D030000}"/>
    <cellStyle name="1_tree_마운딩수량_갑지0601_총괄갑지_설계내역서_백화점화장실인테리어_1-대구상인-7층-031001" xfId="783" xr:uid="{00000000-0005-0000-0000-00000E030000}"/>
    <cellStyle name="1_tree_마운딩수량_갑지0601_총괄갑지_설계내역서_울산FITNESS인테리어" xfId="784" xr:uid="{00000000-0005-0000-0000-00000F030000}"/>
    <cellStyle name="1_tree_마운딩수량_갑지0601_총괄갑지_설계내역서_울산FITNESS인테리어_1-대구상인-7층-031001" xfId="785" xr:uid="{00000000-0005-0000-0000-000010030000}"/>
    <cellStyle name="1_tree_마운딩수량_갑지0601_총괄갑지_설계내역서_화명조경" xfId="786" xr:uid="{00000000-0005-0000-0000-000011030000}"/>
    <cellStyle name="1_tree_마운딩수량_갑지0601_총괄갑지_설계내역서_화명조경_1-대구상인-7층-031001" xfId="787" xr:uid="{00000000-0005-0000-0000-000012030000}"/>
    <cellStyle name="1_tree_마운딩수량_갑지0601_총괄갑지_설계내역서_화명조경_백화점화장실인테리어" xfId="788" xr:uid="{00000000-0005-0000-0000-000013030000}"/>
    <cellStyle name="1_tree_마운딩수량_갑지0601_총괄갑지_설계내역서_화명조경_백화점화장실인테리어_1-대구상인-7층-031001" xfId="789" xr:uid="{00000000-0005-0000-0000-000014030000}"/>
    <cellStyle name="1_tree_마운딩수량_갑지0601_총괄갑지_설계내역서_화명조경_울산FITNESS인테리어" xfId="790" xr:uid="{00000000-0005-0000-0000-000015030000}"/>
    <cellStyle name="1_tree_마운딩수량_갑지0601_총괄갑지_설계내역서_화명조경_울산FITNESS인테리어_1-대구상인-7층-031001" xfId="791" xr:uid="{00000000-0005-0000-0000-000016030000}"/>
    <cellStyle name="1_tree_마운딩수량_갑지0601_총괄갑지_설계내역서1월7일" xfId="792" xr:uid="{00000000-0005-0000-0000-000017030000}"/>
    <cellStyle name="1_tree_마운딩수량_갑지0601_총괄갑지_설계내역서1월7일_1-대구상인-7층-031001" xfId="793" xr:uid="{00000000-0005-0000-0000-000018030000}"/>
    <cellStyle name="1_tree_마운딩수량_갑지0601_총괄갑지_설계내역서1월7일_백화점화장실인테리어" xfId="794" xr:uid="{00000000-0005-0000-0000-000019030000}"/>
    <cellStyle name="1_tree_마운딩수량_갑지0601_총괄갑지_설계내역서1월7일_백화점화장실인테리어_1-대구상인-7층-031001" xfId="795" xr:uid="{00000000-0005-0000-0000-00001A030000}"/>
    <cellStyle name="1_tree_마운딩수량_갑지0601_총괄갑지_설계내역서1월7일_울산FITNESS인테리어" xfId="796" xr:uid="{00000000-0005-0000-0000-00001B030000}"/>
    <cellStyle name="1_tree_마운딩수량_갑지0601_총괄갑지_설계내역서1월7일_울산FITNESS인테리어_1-대구상인-7층-031001" xfId="797" xr:uid="{00000000-0005-0000-0000-00001C030000}"/>
    <cellStyle name="1_tree_마운딩수량_갑지0601_총괄갑지_설계내역서1월7일_화명조경" xfId="798" xr:uid="{00000000-0005-0000-0000-00001D030000}"/>
    <cellStyle name="1_tree_마운딩수량_갑지0601_총괄갑지_설계내역서1월7일_화명조경_1-대구상인-7층-031001" xfId="799" xr:uid="{00000000-0005-0000-0000-00001E030000}"/>
    <cellStyle name="1_tree_마운딩수량_갑지0601_총괄갑지_설계내역서1월7일_화명조경_백화점화장실인테리어" xfId="800" xr:uid="{00000000-0005-0000-0000-00001F030000}"/>
    <cellStyle name="1_tree_마운딩수량_갑지0601_총괄갑지_설계내역서1월7일_화명조경_백화점화장실인테리어_1-대구상인-7층-031001" xfId="801" xr:uid="{00000000-0005-0000-0000-000020030000}"/>
    <cellStyle name="1_tree_마운딩수량_갑지0601_총괄갑지_설계내역서1월7일_화명조경_울산FITNESS인테리어" xfId="802" xr:uid="{00000000-0005-0000-0000-000021030000}"/>
    <cellStyle name="1_tree_마운딩수량_갑지0601_총괄갑지_설계내역서1월7일_화명조경_울산FITNESS인테리어_1-대구상인-7층-031001" xfId="803" xr:uid="{00000000-0005-0000-0000-000022030000}"/>
    <cellStyle name="1_tree_마운딩수량_갑지0601_총괄갑지_울산FITNESS인테리어" xfId="804" xr:uid="{00000000-0005-0000-0000-000023030000}"/>
    <cellStyle name="1_tree_마운딩수량_갑지0601_총괄갑지_울산FITNESS인테리어_1-대구상인-7층-031001" xfId="805" xr:uid="{00000000-0005-0000-0000-000024030000}"/>
    <cellStyle name="1_tree_마운딩수량_갑지0601_총괄갑지_화명조경" xfId="806" xr:uid="{00000000-0005-0000-0000-000025030000}"/>
    <cellStyle name="1_tree_마운딩수량_갑지0601_총괄갑지_화명조경_1-대구상인-7층-031001" xfId="807" xr:uid="{00000000-0005-0000-0000-000026030000}"/>
    <cellStyle name="1_tree_마운딩수량_갑지0601_총괄갑지_화명조경_백화점화장실인테리어" xfId="808" xr:uid="{00000000-0005-0000-0000-000027030000}"/>
    <cellStyle name="1_tree_마운딩수량_갑지0601_총괄갑지_화명조경_백화점화장실인테리어_1-대구상인-7층-031001" xfId="809" xr:uid="{00000000-0005-0000-0000-000028030000}"/>
    <cellStyle name="1_tree_마운딩수량_갑지0601_총괄갑지_화명조경_울산FITNESS인테리어" xfId="810" xr:uid="{00000000-0005-0000-0000-000029030000}"/>
    <cellStyle name="1_tree_마운딩수량_갑지0601_총괄갑지_화명조경_울산FITNESS인테리어_1-대구상인-7층-031001" xfId="811" xr:uid="{00000000-0005-0000-0000-00002A030000}"/>
    <cellStyle name="1_tree_마운딩수량_갑지0601_총괄내역서" xfId="812" xr:uid="{00000000-0005-0000-0000-00002B030000}"/>
    <cellStyle name="1_tree_마운딩수량_갑지0601_총괄내역서_1-대구상인-7층-031001" xfId="813" xr:uid="{00000000-0005-0000-0000-00002C030000}"/>
    <cellStyle name="1_tree_마운딩수량_갑지0601_총괄내역서_백화점화장실인테리어" xfId="814" xr:uid="{00000000-0005-0000-0000-00002D030000}"/>
    <cellStyle name="1_tree_마운딩수량_갑지0601_총괄내역서_백화점화장실인테리어_1-대구상인-7층-031001" xfId="815" xr:uid="{00000000-0005-0000-0000-00002E030000}"/>
    <cellStyle name="1_tree_마운딩수량_갑지0601_총괄내역서_설계내역서" xfId="816" xr:uid="{00000000-0005-0000-0000-00002F030000}"/>
    <cellStyle name="1_tree_마운딩수량_갑지0601_총괄내역서_설계내역서_1-대구상인-7층-031001" xfId="817" xr:uid="{00000000-0005-0000-0000-000030030000}"/>
    <cellStyle name="1_tree_마운딩수량_갑지0601_총괄내역서_설계내역서_백화점화장실인테리어" xfId="818" xr:uid="{00000000-0005-0000-0000-000031030000}"/>
    <cellStyle name="1_tree_마운딩수량_갑지0601_총괄내역서_설계내역서_백화점화장실인테리어_1-대구상인-7층-031001" xfId="819" xr:uid="{00000000-0005-0000-0000-000032030000}"/>
    <cellStyle name="1_tree_마운딩수량_갑지0601_총괄내역서_설계내역서_울산FITNESS인테리어" xfId="820" xr:uid="{00000000-0005-0000-0000-000033030000}"/>
    <cellStyle name="1_tree_마운딩수량_갑지0601_총괄내역서_설계내역서_울산FITNESS인테리어_1-대구상인-7층-031001" xfId="821" xr:uid="{00000000-0005-0000-0000-000034030000}"/>
    <cellStyle name="1_tree_마운딩수량_갑지0601_총괄내역서_설계내역서_화명조경" xfId="822" xr:uid="{00000000-0005-0000-0000-000035030000}"/>
    <cellStyle name="1_tree_마운딩수량_갑지0601_총괄내역서_설계내역서_화명조경_1-대구상인-7층-031001" xfId="823" xr:uid="{00000000-0005-0000-0000-000036030000}"/>
    <cellStyle name="1_tree_마운딩수량_갑지0601_총괄내역서_설계내역서_화명조경_백화점화장실인테리어" xfId="824" xr:uid="{00000000-0005-0000-0000-000037030000}"/>
    <cellStyle name="1_tree_마운딩수량_갑지0601_총괄내역서_설계내역서_화명조경_백화점화장실인테리어_1-대구상인-7층-031001" xfId="825" xr:uid="{00000000-0005-0000-0000-000038030000}"/>
    <cellStyle name="1_tree_마운딩수량_갑지0601_총괄내역서_설계내역서_화명조경_울산FITNESS인테리어" xfId="826" xr:uid="{00000000-0005-0000-0000-000039030000}"/>
    <cellStyle name="1_tree_마운딩수량_갑지0601_총괄내역서_설계내역서_화명조경_울산FITNESS인테리어_1-대구상인-7층-031001" xfId="827" xr:uid="{00000000-0005-0000-0000-00003A030000}"/>
    <cellStyle name="1_tree_마운딩수량_갑지0601_총괄내역서_설계내역서1월7일" xfId="828" xr:uid="{00000000-0005-0000-0000-00003B030000}"/>
    <cellStyle name="1_tree_마운딩수량_갑지0601_총괄내역서_설계내역서1월7일_1-대구상인-7층-031001" xfId="829" xr:uid="{00000000-0005-0000-0000-00003C030000}"/>
    <cellStyle name="1_tree_마운딩수량_갑지0601_총괄내역서_설계내역서1월7일_백화점화장실인테리어" xfId="830" xr:uid="{00000000-0005-0000-0000-00003D030000}"/>
    <cellStyle name="1_tree_마운딩수량_갑지0601_총괄내역서_설계내역서1월7일_백화점화장실인테리어_1-대구상인-7층-031001" xfId="831" xr:uid="{00000000-0005-0000-0000-00003E030000}"/>
    <cellStyle name="1_tree_마운딩수량_갑지0601_총괄내역서_설계내역서1월7일_울산FITNESS인테리어" xfId="832" xr:uid="{00000000-0005-0000-0000-00003F030000}"/>
    <cellStyle name="1_tree_마운딩수량_갑지0601_총괄내역서_설계내역서1월7일_울산FITNESS인테리어_1-대구상인-7층-031001" xfId="833" xr:uid="{00000000-0005-0000-0000-000040030000}"/>
    <cellStyle name="1_tree_마운딩수량_갑지0601_총괄내역서_설계내역서1월7일_화명조경" xfId="834" xr:uid="{00000000-0005-0000-0000-000041030000}"/>
    <cellStyle name="1_tree_마운딩수량_갑지0601_총괄내역서_설계내역서1월7일_화명조경_1-대구상인-7층-031001" xfId="835" xr:uid="{00000000-0005-0000-0000-000042030000}"/>
    <cellStyle name="1_tree_마운딩수량_갑지0601_총괄내역서_설계내역서1월7일_화명조경_백화점화장실인테리어" xfId="836" xr:uid="{00000000-0005-0000-0000-000043030000}"/>
    <cellStyle name="1_tree_마운딩수량_갑지0601_총괄내역서_설계내역서1월7일_화명조경_백화점화장실인테리어_1-대구상인-7층-031001" xfId="837" xr:uid="{00000000-0005-0000-0000-000044030000}"/>
    <cellStyle name="1_tree_마운딩수량_갑지0601_총괄내역서_설계내역서1월7일_화명조경_울산FITNESS인테리어" xfId="838" xr:uid="{00000000-0005-0000-0000-000045030000}"/>
    <cellStyle name="1_tree_마운딩수량_갑지0601_총괄내역서_설계내역서1월7일_화명조경_울산FITNESS인테리어_1-대구상인-7층-031001" xfId="839" xr:uid="{00000000-0005-0000-0000-000046030000}"/>
    <cellStyle name="1_tree_마운딩수량_갑지0601_총괄내역서_울산FITNESS인테리어" xfId="840" xr:uid="{00000000-0005-0000-0000-000047030000}"/>
    <cellStyle name="1_tree_마운딩수량_갑지0601_총괄내역서_울산FITNESS인테리어_1-대구상인-7층-031001" xfId="841" xr:uid="{00000000-0005-0000-0000-000048030000}"/>
    <cellStyle name="1_tree_마운딩수량_갑지0601_총괄내역서_화명조경" xfId="842" xr:uid="{00000000-0005-0000-0000-000049030000}"/>
    <cellStyle name="1_tree_마운딩수량_갑지0601_총괄내역서_화명조경_1-대구상인-7층-031001" xfId="843" xr:uid="{00000000-0005-0000-0000-00004A030000}"/>
    <cellStyle name="1_tree_마운딩수량_갑지0601_총괄내역서_화명조경_백화점화장실인테리어" xfId="844" xr:uid="{00000000-0005-0000-0000-00004B030000}"/>
    <cellStyle name="1_tree_마운딩수량_갑지0601_총괄내역서_화명조경_백화점화장실인테리어_1-대구상인-7층-031001" xfId="845" xr:uid="{00000000-0005-0000-0000-00004C030000}"/>
    <cellStyle name="1_tree_마운딩수량_갑지0601_총괄내역서_화명조경_울산FITNESS인테리어" xfId="846" xr:uid="{00000000-0005-0000-0000-00004D030000}"/>
    <cellStyle name="1_tree_마운딩수량_갑지0601_총괄내역서_화명조경_울산FITNESS인테리어_1-대구상인-7층-031001" xfId="847" xr:uid="{00000000-0005-0000-0000-00004E030000}"/>
    <cellStyle name="1_tree_마운딩수량_갑지0601_화명조경" xfId="848" xr:uid="{00000000-0005-0000-0000-00004F030000}"/>
    <cellStyle name="1_tree_마운딩수량_갑지0601_화명조경_1-대구상인-7층-031001" xfId="849" xr:uid="{00000000-0005-0000-0000-000050030000}"/>
    <cellStyle name="1_tree_마운딩수량_갑지0601_화명조경_백화점화장실인테리어" xfId="850" xr:uid="{00000000-0005-0000-0000-000051030000}"/>
    <cellStyle name="1_tree_마운딩수량_갑지0601_화명조경_백화점화장실인테리어_1-대구상인-7층-031001" xfId="851" xr:uid="{00000000-0005-0000-0000-000052030000}"/>
    <cellStyle name="1_tree_마운딩수량_갑지0601_화명조경_울산FITNESS인테리어" xfId="852" xr:uid="{00000000-0005-0000-0000-000053030000}"/>
    <cellStyle name="1_tree_마운딩수량_갑지0601_화명조경_울산FITNESS인테리어_1-대구상인-7층-031001" xfId="853" xr:uid="{00000000-0005-0000-0000-000054030000}"/>
    <cellStyle name="1_tree_마운딩수량_백화점화장실인테리어" xfId="854" xr:uid="{00000000-0005-0000-0000-000055030000}"/>
    <cellStyle name="1_tree_마운딩수량_백화점화장실인테리어_1-대구상인-7층-031001" xfId="855" xr:uid="{00000000-0005-0000-0000-000056030000}"/>
    <cellStyle name="1_tree_마운딩수량_설계내역서" xfId="856" xr:uid="{00000000-0005-0000-0000-000057030000}"/>
    <cellStyle name="1_tree_마운딩수량_설계내역서_1-대구상인-7층-031001" xfId="857" xr:uid="{00000000-0005-0000-0000-000058030000}"/>
    <cellStyle name="1_tree_마운딩수량_설계내역서_백화점화장실인테리어" xfId="858" xr:uid="{00000000-0005-0000-0000-000059030000}"/>
    <cellStyle name="1_tree_마운딩수량_설계내역서_백화점화장실인테리어_1-대구상인-7층-031001" xfId="859" xr:uid="{00000000-0005-0000-0000-00005A030000}"/>
    <cellStyle name="1_tree_마운딩수량_설계내역서_울산FITNESS인테리어" xfId="860" xr:uid="{00000000-0005-0000-0000-00005B030000}"/>
    <cellStyle name="1_tree_마운딩수량_설계내역서_울산FITNESS인테리어_1-대구상인-7층-031001" xfId="861" xr:uid="{00000000-0005-0000-0000-00005C030000}"/>
    <cellStyle name="1_tree_마운딩수량_설계내역서_화명조경" xfId="862" xr:uid="{00000000-0005-0000-0000-00005D030000}"/>
    <cellStyle name="1_tree_마운딩수량_설계내역서_화명조경_1-대구상인-7층-031001" xfId="863" xr:uid="{00000000-0005-0000-0000-00005E030000}"/>
    <cellStyle name="1_tree_마운딩수량_설계내역서_화명조경_백화점화장실인테리어" xfId="864" xr:uid="{00000000-0005-0000-0000-00005F030000}"/>
    <cellStyle name="1_tree_마운딩수량_설계내역서_화명조경_백화점화장실인테리어_1-대구상인-7층-031001" xfId="865" xr:uid="{00000000-0005-0000-0000-000060030000}"/>
    <cellStyle name="1_tree_마운딩수량_설계내역서_화명조경_울산FITNESS인테리어" xfId="866" xr:uid="{00000000-0005-0000-0000-000061030000}"/>
    <cellStyle name="1_tree_마운딩수량_설계내역서_화명조경_울산FITNESS인테리어_1-대구상인-7층-031001" xfId="867" xr:uid="{00000000-0005-0000-0000-000062030000}"/>
    <cellStyle name="1_tree_마운딩수량_설계내역서1월7일" xfId="868" xr:uid="{00000000-0005-0000-0000-000063030000}"/>
    <cellStyle name="1_tree_마운딩수량_설계내역서1월7일_1-대구상인-7층-031001" xfId="869" xr:uid="{00000000-0005-0000-0000-000064030000}"/>
    <cellStyle name="1_tree_마운딩수량_설계내역서1월7일_백화점화장실인테리어" xfId="870" xr:uid="{00000000-0005-0000-0000-000065030000}"/>
    <cellStyle name="1_tree_마운딩수량_설계내역서1월7일_백화점화장실인테리어_1-대구상인-7층-031001" xfId="871" xr:uid="{00000000-0005-0000-0000-000066030000}"/>
    <cellStyle name="1_tree_마운딩수량_설계내역서1월7일_울산FITNESS인테리어" xfId="872" xr:uid="{00000000-0005-0000-0000-000067030000}"/>
    <cellStyle name="1_tree_마운딩수량_설계내역서1월7일_울산FITNESS인테리어_1-대구상인-7층-031001" xfId="873" xr:uid="{00000000-0005-0000-0000-000068030000}"/>
    <cellStyle name="1_tree_마운딩수량_설계내역서1월7일_화명조경" xfId="874" xr:uid="{00000000-0005-0000-0000-000069030000}"/>
    <cellStyle name="1_tree_마운딩수량_설계내역서1월7일_화명조경_1-대구상인-7층-031001" xfId="875" xr:uid="{00000000-0005-0000-0000-00006A030000}"/>
    <cellStyle name="1_tree_마운딩수량_설계내역서1월7일_화명조경_백화점화장실인테리어" xfId="876" xr:uid="{00000000-0005-0000-0000-00006B030000}"/>
    <cellStyle name="1_tree_마운딩수량_설계내역서1월7일_화명조경_백화점화장실인테리어_1-대구상인-7층-031001" xfId="877" xr:uid="{00000000-0005-0000-0000-00006C030000}"/>
    <cellStyle name="1_tree_마운딩수량_설계내역서1월7일_화명조경_울산FITNESS인테리어" xfId="878" xr:uid="{00000000-0005-0000-0000-00006D030000}"/>
    <cellStyle name="1_tree_마운딩수량_설계내역서1월7일_화명조경_울산FITNESS인테리어_1-대구상인-7층-031001" xfId="879" xr:uid="{00000000-0005-0000-0000-00006E030000}"/>
    <cellStyle name="1_tree_마운딩수량_울산FITNESS인테리어" xfId="880" xr:uid="{00000000-0005-0000-0000-00006F030000}"/>
    <cellStyle name="1_tree_마운딩수량_울산FITNESS인테리어_1-대구상인-7층-031001" xfId="881" xr:uid="{00000000-0005-0000-0000-000070030000}"/>
    <cellStyle name="1_tree_마운딩수량_화명조경" xfId="882" xr:uid="{00000000-0005-0000-0000-000071030000}"/>
    <cellStyle name="1_tree_마운딩수량_화명조경_1-대구상인-7층-031001" xfId="883" xr:uid="{00000000-0005-0000-0000-000072030000}"/>
    <cellStyle name="1_tree_마운딩수량_화명조경_백화점화장실인테리어" xfId="884" xr:uid="{00000000-0005-0000-0000-000073030000}"/>
    <cellStyle name="1_tree_마운딩수량_화명조경_백화점화장실인테리어_1-대구상인-7층-031001" xfId="885" xr:uid="{00000000-0005-0000-0000-000074030000}"/>
    <cellStyle name="1_tree_마운딩수량_화명조경_울산FITNESS인테리어" xfId="886" xr:uid="{00000000-0005-0000-0000-000075030000}"/>
    <cellStyle name="1_tree_마운딩수량_화명조경_울산FITNESS인테리어_1-대구상인-7층-031001" xfId="887" xr:uid="{00000000-0005-0000-0000-000076030000}"/>
    <cellStyle name="1_tree_백화점화장실인테리어" xfId="888" xr:uid="{00000000-0005-0000-0000-000077030000}"/>
    <cellStyle name="1_tree_백화점화장실인테리어_1-대구상인-7층-031001" xfId="889" xr:uid="{00000000-0005-0000-0000-000078030000}"/>
    <cellStyle name="1_tree_설계내역서" xfId="890" xr:uid="{00000000-0005-0000-0000-000079030000}"/>
    <cellStyle name="1_tree_설계내역서_1-대구상인-7층-031001" xfId="891" xr:uid="{00000000-0005-0000-0000-00007A030000}"/>
    <cellStyle name="1_tree_설계내역서_백화점화장실인테리어" xfId="892" xr:uid="{00000000-0005-0000-0000-00007B030000}"/>
    <cellStyle name="1_tree_설계내역서_백화점화장실인테리어_1-대구상인-7층-031001" xfId="893" xr:uid="{00000000-0005-0000-0000-00007C030000}"/>
    <cellStyle name="1_tree_설계내역서_울산FITNESS인테리어" xfId="894" xr:uid="{00000000-0005-0000-0000-00007D030000}"/>
    <cellStyle name="1_tree_설계내역서_울산FITNESS인테리어_1-대구상인-7층-031001" xfId="895" xr:uid="{00000000-0005-0000-0000-00007E030000}"/>
    <cellStyle name="1_tree_설계내역서_화명조경" xfId="896" xr:uid="{00000000-0005-0000-0000-00007F030000}"/>
    <cellStyle name="1_tree_설계내역서_화명조경_1-대구상인-7층-031001" xfId="897" xr:uid="{00000000-0005-0000-0000-000080030000}"/>
    <cellStyle name="1_tree_설계내역서_화명조경_백화점화장실인테리어" xfId="898" xr:uid="{00000000-0005-0000-0000-000081030000}"/>
    <cellStyle name="1_tree_설계내역서_화명조경_백화점화장실인테리어_1-대구상인-7층-031001" xfId="899" xr:uid="{00000000-0005-0000-0000-000082030000}"/>
    <cellStyle name="1_tree_설계내역서_화명조경_울산FITNESS인테리어" xfId="900" xr:uid="{00000000-0005-0000-0000-000083030000}"/>
    <cellStyle name="1_tree_설계내역서_화명조경_울산FITNESS인테리어_1-대구상인-7층-031001" xfId="901" xr:uid="{00000000-0005-0000-0000-000084030000}"/>
    <cellStyle name="1_tree_설계내역서1월7일" xfId="902" xr:uid="{00000000-0005-0000-0000-000085030000}"/>
    <cellStyle name="1_tree_설계내역서1월7일_1-대구상인-7층-031001" xfId="903" xr:uid="{00000000-0005-0000-0000-000086030000}"/>
    <cellStyle name="1_tree_설계내역서1월7일_백화점화장실인테리어" xfId="904" xr:uid="{00000000-0005-0000-0000-000087030000}"/>
    <cellStyle name="1_tree_설계내역서1월7일_백화점화장실인테리어_1-대구상인-7층-031001" xfId="905" xr:uid="{00000000-0005-0000-0000-000088030000}"/>
    <cellStyle name="1_tree_설계내역서1월7일_울산FITNESS인테리어" xfId="906" xr:uid="{00000000-0005-0000-0000-000089030000}"/>
    <cellStyle name="1_tree_설계내역서1월7일_울산FITNESS인테리어_1-대구상인-7층-031001" xfId="907" xr:uid="{00000000-0005-0000-0000-00008A030000}"/>
    <cellStyle name="1_tree_설계내역서1월7일_화명조경" xfId="908" xr:uid="{00000000-0005-0000-0000-00008B030000}"/>
    <cellStyle name="1_tree_설계내역서1월7일_화명조경_1-대구상인-7층-031001" xfId="909" xr:uid="{00000000-0005-0000-0000-00008C030000}"/>
    <cellStyle name="1_tree_설계내역서1월7일_화명조경_백화점화장실인테리어" xfId="910" xr:uid="{00000000-0005-0000-0000-00008D030000}"/>
    <cellStyle name="1_tree_설계내역서1월7일_화명조경_백화점화장실인테리어_1-대구상인-7층-031001" xfId="911" xr:uid="{00000000-0005-0000-0000-00008E030000}"/>
    <cellStyle name="1_tree_설계내역서1월7일_화명조경_울산FITNESS인테리어" xfId="912" xr:uid="{00000000-0005-0000-0000-00008F030000}"/>
    <cellStyle name="1_tree_설계내역서1월7일_화명조경_울산FITNESS인테리어_1-대구상인-7층-031001" xfId="913" xr:uid="{00000000-0005-0000-0000-000090030000}"/>
    <cellStyle name="1_tree_수원변경수량산출" xfId="914" xr:uid="{00000000-0005-0000-0000-000091030000}"/>
    <cellStyle name="1_tree_수원변경수량산출_1-대구상인-7층-031001" xfId="915" xr:uid="{00000000-0005-0000-0000-000092030000}"/>
    <cellStyle name="1_tree_수원변경수량산출_백화점화장실인테리어" xfId="916" xr:uid="{00000000-0005-0000-0000-000093030000}"/>
    <cellStyle name="1_tree_수원변경수량산출_백화점화장실인테리어_1-대구상인-7층-031001" xfId="917" xr:uid="{00000000-0005-0000-0000-000094030000}"/>
    <cellStyle name="1_tree_수원변경수량산출_설계내역서" xfId="918" xr:uid="{00000000-0005-0000-0000-000095030000}"/>
    <cellStyle name="1_tree_수원변경수량산출_설계내역서_1-대구상인-7층-031001" xfId="919" xr:uid="{00000000-0005-0000-0000-000096030000}"/>
    <cellStyle name="1_tree_수원변경수량산출_설계내역서_백화점화장실인테리어" xfId="920" xr:uid="{00000000-0005-0000-0000-000097030000}"/>
    <cellStyle name="1_tree_수원변경수량산출_설계내역서_백화점화장실인테리어_1-대구상인-7층-031001" xfId="921" xr:uid="{00000000-0005-0000-0000-000098030000}"/>
    <cellStyle name="1_tree_수원변경수량산출_설계내역서_울산FITNESS인테리어" xfId="922" xr:uid="{00000000-0005-0000-0000-000099030000}"/>
    <cellStyle name="1_tree_수원변경수량산출_설계내역서_울산FITNESS인테리어_1-대구상인-7층-031001" xfId="923" xr:uid="{00000000-0005-0000-0000-00009A030000}"/>
    <cellStyle name="1_tree_수원변경수량산출_설계내역서_화명조경" xfId="924" xr:uid="{00000000-0005-0000-0000-00009B030000}"/>
    <cellStyle name="1_tree_수원변경수량산출_설계내역서_화명조경_1-대구상인-7층-031001" xfId="925" xr:uid="{00000000-0005-0000-0000-00009C030000}"/>
    <cellStyle name="1_tree_수원변경수량산출_설계내역서_화명조경_백화점화장실인테리어" xfId="926" xr:uid="{00000000-0005-0000-0000-00009D030000}"/>
    <cellStyle name="1_tree_수원변경수량산출_설계내역서_화명조경_백화점화장실인테리어_1-대구상인-7층-031001" xfId="927" xr:uid="{00000000-0005-0000-0000-00009E030000}"/>
    <cellStyle name="1_tree_수원변경수량산출_설계내역서_화명조경_울산FITNESS인테리어" xfId="928" xr:uid="{00000000-0005-0000-0000-00009F030000}"/>
    <cellStyle name="1_tree_수원변경수량산출_설계내역서_화명조경_울산FITNESS인테리어_1-대구상인-7층-031001" xfId="929" xr:uid="{00000000-0005-0000-0000-0000A0030000}"/>
    <cellStyle name="1_tree_수원변경수량산출_설계내역서1월7일" xfId="930" xr:uid="{00000000-0005-0000-0000-0000A1030000}"/>
    <cellStyle name="1_tree_수원변경수량산출_설계내역서1월7일_1-대구상인-7층-031001" xfId="931" xr:uid="{00000000-0005-0000-0000-0000A2030000}"/>
    <cellStyle name="1_tree_수원변경수량산출_설계내역서1월7일_백화점화장실인테리어" xfId="932" xr:uid="{00000000-0005-0000-0000-0000A3030000}"/>
    <cellStyle name="1_tree_수원변경수량산출_설계내역서1월7일_백화점화장실인테리어_1-대구상인-7층-031001" xfId="933" xr:uid="{00000000-0005-0000-0000-0000A4030000}"/>
    <cellStyle name="1_tree_수원변경수량산출_설계내역서1월7일_울산FITNESS인테리어" xfId="934" xr:uid="{00000000-0005-0000-0000-0000A5030000}"/>
    <cellStyle name="1_tree_수원변경수량산출_설계내역서1월7일_울산FITNESS인테리어_1-대구상인-7층-031001" xfId="935" xr:uid="{00000000-0005-0000-0000-0000A6030000}"/>
    <cellStyle name="1_tree_수원변경수량산출_설계내역서1월7일_화명조경" xfId="936" xr:uid="{00000000-0005-0000-0000-0000A7030000}"/>
    <cellStyle name="1_tree_수원변경수량산출_설계내역서1월7일_화명조경_1-대구상인-7층-031001" xfId="937" xr:uid="{00000000-0005-0000-0000-0000A8030000}"/>
    <cellStyle name="1_tree_수원변경수량산출_설계내역서1월7일_화명조경_백화점화장실인테리어" xfId="938" xr:uid="{00000000-0005-0000-0000-0000A9030000}"/>
    <cellStyle name="1_tree_수원변경수량산출_설계내역서1월7일_화명조경_백화점화장실인테리어_1-대구상인-7층-031001" xfId="939" xr:uid="{00000000-0005-0000-0000-0000AA030000}"/>
    <cellStyle name="1_tree_수원변경수량산출_설계내역서1월7일_화명조경_울산FITNESS인테리어" xfId="940" xr:uid="{00000000-0005-0000-0000-0000AB030000}"/>
    <cellStyle name="1_tree_수원변경수량산출_설계내역서1월7일_화명조경_울산FITNESS인테리어_1-대구상인-7층-031001" xfId="941" xr:uid="{00000000-0005-0000-0000-0000AC030000}"/>
    <cellStyle name="1_tree_수원변경수량산출_울산FITNESS인테리어" xfId="942" xr:uid="{00000000-0005-0000-0000-0000AD030000}"/>
    <cellStyle name="1_tree_수원변경수량산출_울산FITNESS인테리어_1-대구상인-7층-031001" xfId="943" xr:uid="{00000000-0005-0000-0000-0000AE030000}"/>
    <cellStyle name="1_tree_수원변경수량산출_화명조경" xfId="944" xr:uid="{00000000-0005-0000-0000-0000AF030000}"/>
    <cellStyle name="1_tree_수원변경수량산출_화명조경_1-대구상인-7층-031001" xfId="945" xr:uid="{00000000-0005-0000-0000-0000B0030000}"/>
    <cellStyle name="1_tree_수원변경수량산출_화명조경_백화점화장실인테리어" xfId="946" xr:uid="{00000000-0005-0000-0000-0000B1030000}"/>
    <cellStyle name="1_tree_수원변경수량산출_화명조경_백화점화장실인테리어_1-대구상인-7층-031001" xfId="947" xr:uid="{00000000-0005-0000-0000-0000B2030000}"/>
    <cellStyle name="1_tree_수원변경수량산출_화명조경_울산FITNESS인테리어" xfId="948" xr:uid="{00000000-0005-0000-0000-0000B3030000}"/>
    <cellStyle name="1_tree_수원변경수량산출_화명조경_울산FITNESS인테리어_1-대구상인-7층-031001" xfId="949" xr:uid="{00000000-0005-0000-0000-0000B4030000}"/>
    <cellStyle name="1_tree_쌍용수량0905" xfId="950" xr:uid="{00000000-0005-0000-0000-0000B5030000}"/>
    <cellStyle name="1_tree_쌍용수량0905_1-대구상인-7층-031001" xfId="951" xr:uid="{00000000-0005-0000-0000-0000B6030000}"/>
    <cellStyle name="1_tree_쌍용수량0905_백화점화장실인테리어" xfId="952" xr:uid="{00000000-0005-0000-0000-0000B7030000}"/>
    <cellStyle name="1_tree_쌍용수량0905_백화점화장실인테리어_1-대구상인-7층-031001" xfId="953" xr:uid="{00000000-0005-0000-0000-0000B8030000}"/>
    <cellStyle name="1_tree_쌍용수량0905_설계내역서" xfId="954" xr:uid="{00000000-0005-0000-0000-0000B9030000}"/>
    <cellStyle name="1_tree_쌍용수량0905_설계내역서_1-대구상인-7층-031001" xfId="955" xr:uid="{00000000-0005-0000-0000-0000BA030000}"/>
    <cellStyle name="1_tree_쌍용수량0905_설계내역서_백화점화장실인테리어" xfId="956" xr:uid="{00000000-0005-0000-0000-0000BB030000}"/>
    <cellStyle name="1_tree_쌍용수량0905_설계내역서_백화점화장실인테리어_1-대구상인-7층-031001" xfId="957" xr:uid="{00000000-0005-0000-0000-0000BC030000}"/>
    <cellStyle name="1_tree_쌍용수량0905_설계내역서_울산FITNESS인테리어" xfId="958" xr:uid="{00000000-0005-0000-0000-0000BD030000}"/>
    <cellStyle name="1_tree_쌍용수량0905_설계내역서_울산FITNESS인테리어_1-대구상인-7층-031001" xfId="959" xr:uid="{00000000-0005-0000-0000-0000BE030000}"/>
    <cellStyle name="1_tree_쌍용수량0905_설계내역서_화명조경" xfId="960" xr:uid="{00000000-0005-0000-0000-0000BF030000}"/>
    <cellStyle name="1_tree_쌍용수량0905_설계내역서_화명조경_1-대구상인-7층-031001" xfId="961" xr:uid="{00000000-0005-0000-0000-0000C0030000}"/>
    <cellStyle name="1_tree_쌍용수량0905_설계내역서_화명조경_백화점화장실인테리어" xfId="962" xr:uid="{00000000-0005-0000-0000-0000C1030000}"/>
    <cellStyle name="1_tree_쌍용수량0905_설계내역서_화명조경_백화점화장실인테리어_1-대구상인-7층-031001" xfId="963" xr:uid="{00000000-0005-0000-0000-0000C2030000}"/>
    <cellStyle name="1_tree_쌍용수량0905_설계내역서_화명조경_울산FITNESS인테리어" xfId="964" xr:uid="{00000000-0005-0000-0000-0000C3030000}"/>
    <cellStyle name="1_tree_쌍용수량0905_설계내역서_화명조경_울산FITNESS인테리어_1-대구상인-7층-031001" xfId="965" xr:uid="{00000000-0005-0000-0000-0000C4030000}"/>
    <cellStyle name="1_tree_쌍용수량0905_설계내역서1월7일" xfId="966" xr:uid="{00000000-0005-0000-0000-0000C5030000}"/>
    <cellStyle name="1_tree_쌍용수량0905_설계내역서1월7일_1-대구상인-7층-031001" xfId="967" xr:uid="{00000000-0005-0000-0000-0000C6030000}"/>
    <cellStyle name="1_tree_쌍용수량0905_설계내역서1월7일_백화점화장실인테리어" xfId="968" xr:uid="{00000000-0005-0000-0000-0000C7030000}"/>
    <cellStyle name="1_tree_쌍용수량0905_설계내역서1월7일_백화점화장실인테리어_1-대구상인-7층-031001" xfId="969" xr:uid="{00000000-0005-0000-0000-0000C8030000}"/>
    <cellStyle name="1_tree_쌍용수량0905_설계내역서1월7일_울산FITNESS인테리어" xfId="970" xr:uid="{00000000-0005-0000-0000-0000C9030000}"/>
    <cellStyle name="1_tree_쌍용수량0905_설계내역서1월7일_울산FITNESS인테리어_1-대구상인-7층-031001" xfId="971" xr:uid="{00000000-0005-0000-0000-0000CA030000}"/>
    <cellStyle name="1_tree_쌍용수량0905_설계내역서1월7일_화명조경" xfId="972" xr:uid="{00000000-0005-0000-0000-0000CB030000}"/>
    <cellStyle name="1_tree_쌍용수량0905_설계내역서1월7일_화명조경_1-대구상인-7층-031001" xfId="973" xr:uid="{00000000-0005-0000-0000-0000CC030000}"/>
    <cellStyle name="1_tree_쌍용수량0905_설계내역서1월7일_화명조경_백화점화장실인테리어" xfId="974" xr:uid="{00000000-0005-0000-0000-0000CD030000}"/>
    <cellStyle name="1_tree_쌍용수량0905_설계내역서1월7일_화명조경_백화점화장실인테리어_1-대구상인-7층-031001" xfId="975" xr:uid="{00000000-0005-0000-0000-0000CE030000}"/>
    <cellStyle name="1_tree_쌍용수량0905_설계내역서1월7일_화명조경_울산FITNESS인테리어" xfId="976" xr:uid="{00000000-0005-0000-0000-0000CF030000}"/>
    <cellStyle name="1_tree_쌍용수량0905_설계내역서1월7일_화명조경_울산FITNESS인테리어_1-대구상인-7층-031001" xfId="977" xr:uid="{00000000-0005-0000-0000-0000D0030000}"/>
    <cellStyle name="1_tree_쌍용수량0905_울산FITNESS인테리어" xfId="978" xr:uid="{00000000-0005-0000-0000-0000D1030000}"/>
    <cellStyle name="1_tree_쌍용수량0905_울산FITNESS인테리어_1-대구상인-7층-031001" xfId="979" xr:uid="{00000000-0005-0000-0000-0000D2030000}"/>
    <cellStyle name="1_tree_쌍용수량0905_화명조경" xfId="980" xr:uid="{00000000-0005-0000-0000-0000D3030000}"/>
    <cellStyle name="1_tree_쌍용수량0905_화명조경_1-대구상인-7층-031001" xfId="981" xr:uid="{00000000-0005-0000-0000-0000D4030000}"/>
    <cellStyle name="1_tree_쌍용수량0905_화명조경_백화점화장실인테리어" xfId="982" xr:uid="{00000000-0005-0000-0000-0000D5030000}"/>
    <cellStyle name="1_tree_쌍용수량0905_화명조경_백화점화장실인테리어_1-대구상인-7층-031001" xfId="983" xr:uid="{00000000-0005-0000-0000-0000D6030000}"/>
    <cellStyle name="1_tree_쌍용수량0905_화명조경_울산FITNESS인테리어" xfId="984" xr:uid="{00000000-0005-0000-0000-0000D7030000}"/>
    <cellStyle name="1_tree_쌍용수량0905_화명조경_울산FITNESS인테리어_1-대구상인-7층-031001" xfId="985" xr:uid="{00000000-0005-0000-0000-0000D8030000}"/>
    <cellStyle name="1_tree_울산FITNESS인테리어" xfId="986" xr:uid="{00000000-0005-0000-0000-0000D9030000}"/>
    <cellStyle name="1_tree_울산FITNESS인테리어_1-대구상인-7층-031001" xfId="987" xr:uid="{00000000-0005-0000-0000-0000DA030000}"/>
    <cellStyle name="1_tree_원가계산서" xfId="988" xr:uid="{00000000-0005-0000-0000-0000DB030000}"/>
    <cellStyle name="1_tree_원가계산서_00갑지" xfId="989" xr:uid="{00000000-0005-0000-0000-0000DC030000}"/>
    <cellStyle name="1_tree_원가계산서_00갑지_1-대구상인-7층-031001" xfId="990" xr:uid="{00000000-0005-0000-0000-0000DD030000}"/>
    <cellStyle name="1_tree_원가계산서_00갑지_백화점화장실인테리어" xfId="991" xr:uid="{00000000-0005-0000-0000-0000DE030000}"/>
    <cellStyle name="1_tree_원가계산서_00갑지_백화점화장실인테리어_1-대구상인-7층-031001" xfId="992" xr:uid="{00000000-0005-0000-0000-0000DF030000}"/>
    <cellStyle name="1_tree_원가계산서_00갑지_설계내역서" xfId="993" xr:uid="{00000000-0005-0000-0000-0000E0030000}"/>
    <cellStyle name="1_tree_원가계산서_00갑지_설계내역서_1-대구상인-7층-031001" xfId="994" xr:uid="{00000000-0005-0000-0000-0000E1030000}"/>
    <cellStyle name="1_tree_원가계산서_00갑지_설계내역서_백화점화장실인테리어" xfId="995" xr:uid="{00000000-0005-0000-0000-0000E2030000}"/>
    <cellStyle name="1_tree_원가계산서_00갑지_설계내역서_백화점화장실인테리어_1-대구상인-7층-031001" xfId="996" xr:uid="{00000000-0005-0000-0000-0000E3030000}"/>
    <cellStyle name="1_tree_원가계산서_00갑지_설계내역서_울산FITNESS인테리어" xfId="997" xr:uid="{00000000-0005-0000-0000-0000E4030000}"/>
    <cellStyle name="1_tree_원가계산서_00갑지_설계내역서_울산FITNESS인테리어_1-대구상인-7층-031001" xfId="998" xr:uid="{00000000-0005-0000-0000-0000E5030000}"/>
    <cellStyle name="1_tree_원가계산서_00갑지_설계내역서_화명조경" xfId="999" xr:uid="{00000000-0005-0000-0000-0000E6030000}"/>
    <cellStyle name="1_tree_원가계산서_00갑지_설계내역서_화명조경_1-대구상인-7층-031001" xfId="1000" xr:uid="{00000000-0005-0000-0000-0000E7030000}"/>
    <cellStyle name="1_tree_원가계산서_00갑지_설계내역서_화명조경_백화점화장실인테리어" xfId="1001" xr:uid="{00000000-0005-0000-0000-0000E8030000}"/>
    <cellStyle name="1_tree_원가계산서_00갑지_설계내역서_화명조경_백화점화장실인테리어_1-대구상인-7층-031001" xfId="1002" xr:uid="{00000000-0005-0000-0000-0000E9030000}"/>
    <cellStyle name="1_tree_원가계산서_00갑지_설계내역서_화명조경_울산FITNESS인테리어" xfId="1003" xr:uid="{00000000-0005-0000-0000-0000EA030000}"/>
    <cellStyle name="1_tree_원가계산서_00갑지_설계내역서_화명조경_울산FITNESS인테리어_1-대구상인-7층-031001" xfId="1004" xr:uid="{00000000-0005-0000-0000-0000EB030000}"/>
    <cellStyle name="1_tree_원가계산서_00갑지_설계내역서1월7일" xfId="1005" xr:uid="{00000000-0005-0000-0000-0000EC030000}"/>
    <cellStyle name="1_tree_원가계산서_00갑지_설계내역서1월7일_1-대구상인-7층-031001" xfId="1006" xr:uid="{00000000-0005-0000-0000-0000ED030000}"/>
    <cellStyle name="1_tree_원가계산서_00갑지_설계내역서1월7일_백화점화장실인테리어" xfId="1007" xr:uid="{00000000-0005-0000-0000-0000EE030000}"/>
    <cellStyle name="1_tree_원가계산서_00갑지_설계내역서1월7일_백화점화장실인테리어_1-대구상인-7층-031001" xfId="1008" xr:uid="{00000000-0005-0000-0000-0000EF030000}"/>
    <cellStyle name="1_tree_원가계산서_00갑지_설계내역서1월7일_울산FITNESS인테리어" xfId="1009" xr:uid="{00000000-0005-0000-0000-0000F0030000}"/>
    <cellStyle name="1_tree_원가계산서_00갑지_설계내역서1월7일_울산FITNESS인테리어_1-대구상인-7층-031001" xfId="1010" xr:uid="{00000000-0005-0000-0000-0000F1030000}"/>
    <cellStyle name="1_tree_원가계산서_00갑지_설계내역서1월7일_화명조경" xfId="1011" xr:uid="{00000000-0005-0000-0000-0000F2030000}"/>
    <cellStyle name="1_tree_원가계산서_00갑지_설계내역서1월7일_화명조경_1-대구상인-7층-031001" xfId="1012" xr:uid="{00000000-0005-0000-0000-0000F3030000}"/>
    <cellStyle name="1_tree_원가계산서_00갑지_설계내역서1월7일_화명조경_백화점화장실인테리어" xfId="1013" xr:uid="{00000000-0005-0000-0000-0000F4030000}"/>
    <cellStyle name="1_tree_원가계산서_00갑지_설계내역서1월7일_화명조경_백화점화장실인테리어_1-대구상인-7층-031001" xfId="1014" xr:uid="{00000000-0005-0000-0000-0000F5030000}"/>
    <cellStyle name="1_tree_원가계산서_00갑지_설계내역서1월7일_화명조경_울산FITNESS인테리어" xfId="1015" xr:uid="{00000000-0005-0000-0000-0000F6030000}"/>
    <cellStyle name="1_tree_원가계산서_00갑지_설계내역서1월7일_화명조경_울산FITNESS인테리어_1-대구상인-7층-031001" xfId="1016" xr:uid="{00000000-0005-0000-0000-0000F7030000}"/>
    <cellStyle name="1_tree_원가계산서_00갑지_울산FITNESS인테리어" xfId="1017" xr:uid="{00000000-0005-0000-0000-0000F8030000}"/>
    <cellStyle name="1_tree_원가계산서_00갑지_울산FITNESS인테리어_1-대구상인-7층-031001" xfId="1018" xr:uid="{00000000-0005-0000-0000-0000F9030000}"/>
    <cellStyle name="1_tree_원가계산서_00갑지_화명조경" xfId="1019" xr:uid="{00000000-0005-0000-0000-0000FA030000}"/>
    <cellStyle name="1_tree_원가계산서_00갑지_화명조경_1-대구상인-7층-031001" xfId="1020" xr:uid="{00000000-0005-0000-0000-0000FB030000}"/>
    <cellStyle name="1_tree_원가계산서_00갑지_화명조경_백화점화장실인테리어" xfId="1021" xr:uid="{00000000-0005-0000-0000-0000FC030000}"/>
    <cellStyle name="1_tree_원가계산서_00갑지_화명조경_백화점화장실인테리어_1-대구상인-7층-031001" xfId="1022" xr:uid="{00000000-0005-0000-0000-0000FD030000}"/>
    <cellStyle name="1_tree_원가계산서_00갑지_화명조경_울산FITNESS인테리어" xfId="1023" xr:uid="{00000000-0005-0000-0000-0000FE030000}"/>
    <cellStyle name="1_tree_원가계산서_00갑지_화명조경_울산FITNESS인테리어_1-대구상인-7층-031001" xfId="1024" xr:uid="{00000000-0005-0000-0000-0000FF030000}"/>
    <cellStyle name="1_tree_원가계산서_1-대구상인-7층-031001" xfId="1025" xr:uid="{00000000-0005-0000-0000-000000040000}"/>
    <cellStyle name="1_tree_원가계산서_과천놀이터설계서" xfId="1026" xr:uid="{00000000-0005-0000-0000-000001040000}"/>
    <cellStyle name="1_tree_원가계산서_과천놀이터설계서_1-대구상인-7층-031001" xfId="1027" xr:uid="{00000000-0005-0000-0000-000002040000}"/>
    <cellStyle name="1_tree_원가계산서_과천놀이터설계서_백화점화장실인테리어" xfId="1028" xr:uid="{00000000-0005-0000-0000-000003040000}"/>
    <cellStyle name="1_tree_원가계산서_과천놀이터설계서_백화점화장실인테리어_1-대구상인-7층-031001" xfId="1029" xr:uid="{00000000-0005-0000-0000-000004040000}"/>
    <cellStyle name="1_tree_원가계산서_과천놀이터설계서_설계내역서" xfId="1030" xr:uid="{00000000-0005-0000-0000-000005040000}"/>
    <cellStyle name="1_tree_원가계산서_과천놀이터설계서_설계내역서_1-대구상인-7층-031001" xfId="1031" xr:uid="{00000000-0005-0000-0000-000006040000}"/>
    <cellStyle name="1_tree_원가계산서_과천놀이터설계서_설계내역서_백화점화장실인테리어" xfId="1032" xr:uid="{00000000-0005-0000-0000-000007040000}"/>
    <cellStyle name="1_tree_원가계산서_과천놀이터설계서_설계내역서_백화점화장실인테리어_1-대구상인-7층-031001" xfId="1033" xr:uid="{00000000-0005-0000-0000-000008040000}"/>
    <cellStyle name="1_tree_원가계산서_과천놀이터설계서_화명조경_울산FITNESS인테리어" xfId="1034" xr:uid="{00000000-0005-0000-0000-000009040000}"/>
    <cellStyle name="1_남해총괄표" xfId="1035" xr:uid="{00000000-0005-0000-0000-00000A040000}"/>
    <cellStyle name="1_남해총괄표_1-대구상인-7층-031001" xfId="1036" xr:uid="{00000000-0005-0000-0000-00000B040000}"/>
    <cellStyle name="1_남해총괄표_백화점화장실인테리어" xfId="1037" xr:uid="{00000000-0005-0000-0000-00000C040000}"/>
    <cellStyle name="1_남해총괄표_백화점화장실인테리어_1-대구상인-7층-031001" xfId="1038" xr:uid="{00000000-0005-0000-0000-00000D040000}"/>
    <cellStyle name="1_남해총괄표_설계내역서" xfId="1039" xr:uid="{00000000-0005-0000-0000-00000E040000}"/>
    <cellStyle name="1_남해총괄표_설계내역서_1-대구상인-7층-031001" xfId="1040" xr:uid="{00000000-0005-0000-0000-00000F040000}"/>
    <cellStyle name="1_남해총괄표_설계내역서_백화점화장실인테리어" xfId="1041" xr:uid="{00000000-0005-0000-0000-000010040000}"/>
    <cellStyle name="1_남해총괄표_설계내역서_백화점화장실인테리어_1-대구상인-7층-031001" xfId="1042" xr:uid="{00000000-0005-0000-0000-000011040000}"/>
    <cellStyle name="1_남해총괄표_설계내역서_울산FITNESS인테리어" xfId="1043" xr:uid="{00000000-0005-0000-0000-000012040000}"/>
    <cellStyle name="1_남해총괄표_설계내역서_울산FITNESS인테리어_1-대구상인-7층-031001" xfId="1044" xr:uid="{00000000-0005-0000-0000-000013040000}"/>
    <cellStyle name="1_남해총괄표_설계내역서_화명조경" xfId="1045" xr:uid="{00000000-0005-0000-0000-000014040000}"/>
    <cellStyle name="1_남해총괄표_설계내역서_화명조경_1-대구상인-7층-031001" xfId="1046" xr:uid="{00000000-0005-0000-0000-000015040000}"/>
    <cellStyle name="1_남해총괄표_설계내역서_화명조경_백화점화장실인테리어" xfId="1047" xr:uid="{00000000-0005-0000-0000-000016040000}"/>
    <cellStyle name="1_남해총괄표_설계내역서_화명조경_백화점화장실인테리어_1-대구상인-7층-031001" xfId="1048" xr:uid="{00000000-0005-0000-0000-000017040000}"/>
    <cellStyle name="1_남해총괄표_설계내역서_화명조경_울산FITNESS인테리어" xfId="1049" xr:uid="{00000000-0005-0000-0000-000018040000}"/>
    <cellStyle name="1_남해총괄표_설계내역서_화명조경_울산FITNESS인테리어_1-대구상인-7층-031001" xfId="1050" xr:uid="{00000000-0005-0000-0000-000019040000}"/>
    <cellStyle name="1_남해총괄표_설계내역서1월7일" xfId="1051" xr:uid="{00000000-0005-0000-0000-00001A040000}"/>
    <cellStyle name="1_남해총괄표_설계내역서1월7일_1-대구상인-7층-031001" xfId="1052" xr:uid="{00000000-0005-0000-0000-00001B040000}"/>
    <cellStyle name="1_남해총괄표_설계내역서1월7일_백화점화장실인테리어" xfId="1053" xr:uid="{00000000-0005-0000-0000-00001C040000}"/>
    <cellStyle name="1_남해총괄표_설계내역서1월7일_백화점화장실인테리어_1-대구상인-7층-031001" xfId="1054" xr:uid="{00000000-0005-0000-0000-00001D040000}"/>
    <cellStyle name="1_남해총괄표_설계내역서1월7일_울산FITNESS인테리어" xfId="1055" xr:uid="{00000000-0005-0000-0000-00001E040000}"/>
    <cellStyle name="1_남해총괄표_설계내역서1월7일_울산FITNESS인테리어_1-대구상인-7층-031001" xfId="1056" xr:uid="{00000000-0005-0000-0000-00001F040000}"/>
    <cellStyle name="1_남해총괄표_설계내역서1월7일_화명조경" xfId="1057" xr:uid="{00000000-0005-0000-0000-000020040000}"/>
    <cellStyle name="1_남해총괄표_설계내역서1월7일_화명조경_1-대구상인-7층-031001" xfId="1058" xr:uid="{00000000-0005-0000-0000-000021040000}"/>
    <cellStyle name="1_남해총괄표_설계내역서1월7일_화명조경_백화점화장실인테리어" xfId="1059" xr:uid="{00000000-0005-0000-0000-000022040000}"/>
    <cellStyle name="1_남해총괄표_설계내역서1월7일_화명조경_백화점화장실인테리어_1-대구상인-7층-031001" xfId="1060" xr:uid="{00000000-0005-0000-0000-000023040000}"/>
    <cellStyle name="1_남해총괄표_설계내역서1월7일_화명조경_울산FITNESS인테리어" xfId="1061" xr:uid="{00000000-0005-0000-0000-000024040000}"/>
    <cellStyle name="1_남해총괄표_설계내역서1월7일_화명조경_울산FITNESS인테리어_1-대구상인-7층-031001" xfId="1062" xr:uid="{00000000-0005-0000-0000-000025040000}"/>
    <cellStyle name="1_남해총괄표_울산FITNESS인테리어" xfId="1063" xr:uid="{00000000-0005-0000-0000-000026040000}"/>
    <cellStyle name="1_남해총괄표_울산FITNESS인테리어_1-대구상인-7층-031001" xfId="1064" xr:uid="{00000000-0005-0000-0000-000027040000}"/>
    <cellStyle name="1_남해총괄표_화명조경" xfId="1065" xr:uid="{00000000-0005-0000-0000-000028040000}"/>
    <cellStyle name="1_남해총괄표_화명조경_1-대구상인-7층-031001" xfId="1066" xr:uid="{00000000-0005-0000-0000-000029040000}"/>
    <cellStyle name="1_남해총괄표_화명조경_백화점화장실인테리어" xfId="1067" xr:uid="{00000000-0005-0000-0000-00002A040000}"/>
    <cellStyle name="1_남해총괄표_화명조경_백화점화장실인테리어_1-대구상인-7층-031001" xfId="1068" xr:uid="{00000000-0005-0000-0000-00002B040000}"/>
    <cellStyle name="1_남해총괄표_화명조경_울산FITNESS인테리어" xfId="1069" xr:uid="{00000000-0005-0000-0000-00002C040000}"/>
    <cellStyle name="1_남해총괄표_화명조경_울산FITNESS인테리어_1-대구상인-7층-031001" xfId="1070" xr:uid="{00000000-0005-0000-0000-00002D040000}"/>
    <cellStyle name="1_수원변경수량산출" xfId="1071" xr:uid="{00000000-0005-0000-0000-00002E040000}"/>
    <cellStyle name="1_쌍용수량0905" xfId="1072" xr:uid="{00000000-0005-0000-0000-00002F040000}"/>
    <cellStyle name="1_쌍용수량0905_1-대구상인-7층-031001" xfId="1073" xr:uid="{00000000-0005-0000-0000-000030040000}"/>
    <cellStyle name="1_쌍용수량0905_백화점화장실인테리어" xfId="1074" xr:uid="{00000000-0005-0000-0000-000031040000}"/>
    <cellStyle name="1_쌍용수량0905_백화점화장실인테리어_1-대구상인-7층-031001" xfId="1075" xr:uid="{00000000-0005-0000-0000-000032040000}"/>
    <cellStyle name="1_쌍용수량0905_설계내역서" xfId="1076" xr:uid="{00000000-0005-0000-0000-000033040000}"/>
    <cellStyle name="1_쌍용수량0905_설계내역서_1-대구상인-7층-031001" xfId="1077" xr:uid="{00000000-0005-0000-0000-000034040000}"/>
    <cellStyle name="1_쌍용수량0905_설계내역서_백화점화장실인테리어" xfId="1078" xr:uid="{00000000-0005-0000-0000-000035040000}"/>
    <cellStyle name="1_쌍용수량0905_설계내역서_백화점화장실인테리어_1-대구상인-7층-031001" xfId="1079" xr:uid="{00000000-0005-0000-0000-000036040000}"/>
    <cellStyle name="1_쌍용수량0905_설계내역서_울산FITNESS인테리어" xfId="1080" xr:uid="{00000000-0005-0000-0000-000037040000}"/>
    <cellStyle name="1_쌍용수량0905_설계내역서_울산FITNESS인테리어_1-대구상인-7층-031001" xfId="1081" xr:uid="{00000000-0005-0000-0000-000038040000}"/>
    <cellStyle name="1_쌍용수량0905_설계내역서_화명조경" xfId="1082" xr:uid="{00000000-0005-0000-0000-000039040000}"/>
    <cellStyle name="1_쌍용수량0905_설계내역서_화명조경_1-대구상인-7층-031001" xfId="1083" xr:uid="{00000000-0005-0000-0000-00003A040000}"/>
    <cellStyle name="1_쌍용수량0905_설계내역서_화명조경_백화점화장실인테리어" xfId="1084" xr:uid="{00000000-0005-0000-0000-00003B040000}"/>
    <cellStyle name="1_쌍용수량0905_설계내역서_화명조경_백화점화장실인테리어_1-대구상인-7층-031001" xfId="1085" xr:uid="{00000000-0005-0000-0000-00003C040000}"/>
    <cellStyle name="1_쌍용수량0905_설계내역서_화명조경_울산FITNESS인테리어" xfId="1086" xr:uid="{00000000-0005-0000-0000-00003D040000}"/>
    <cellStyle name="1_쌍용수량0905_설계내역서_화명조경_울산FITNESS인테리어_1-대구상인-7층-031001" xfId="1087" xr:uid="{00000000-0005-0000-0000-00003E040000}"/>
    <cellStyle name="1_쌍용수량0905_설계내역서1월7일" xfId="1088" xr:uid="{00000000-0005-0000-0000-00003F040000}"/>
    <cellStyle name="1_쌍용수량0905_설계내역서1월7일_1-대구상인-7층-031001" xfId="1089" xr:uid="{00000000-0005-0000-0000-000040040000}"/>
    <cellStyle name="1_쌍용수량0905_설계내역서1월7일_백화점화장실인테리어" xfId="1090" xr:uid="{00000000-0005-0000-0000-000041040000}"/>
    <cellStyle name="1_쌍용수량0905_설계내역서1월7일_백화점화장실인테리어_1-대구상인-7층-031001" xfId="1091" xr:uid="{00000000-0005-0000-0000-000042040000}"/>
    <cellStyle name="1_쌍용수량0905_설계내역서1월7일_울산FITNESS인테리어" xfId="1092" xr:uid="{00000000-0005-0000-0000-000043040000}"/>
    <cellStyle name="1_쌍용수량0905_설계내역서1월7일_울산FITNESS인테리어_1-대구상인-7층-031001" xfId="1093" xr:uid="{00000000-0005-0000-0000-000044040000}"/>
    <cellStyle name="1_쌍용수량0905_설계내역서1월7일_화명조경" xfId="1094" xr:uid="{00000000-0005-0000-0000-000045040000}"/>
    <cellStyle name="1_쌍용수량0905_설계내역서1월7일_화명조경_1-대구상인-7층-031001" xfId="1095" xr:uid="{00000000-0005-0000-0000-000046040000}"/>
    <cellStyle name="1_쌍용수량0905_설계내역서1월7일_화명조경_백화점화장실인테리어" xfId="1096" xr:uid="{00000000-0005-0000-0000-000047040000}"/>
    <cellStyle name="1_쌍용수량0905_설계내역서1월7일_화명조경_백화점화장실인테리어_1-대구상인-7층-031001" xfId="1097" xr:uid="{00000000-0005-0000-0000-000048040000}"/>
    <cellStyle name="1_쌍용수량0905_설계내역서1월7일_화명조경_울산FITNESS인테리어" xfId="1098" xr:uid="{00000000-0005-0000-0000-000049040000}"/>
    <cellStyle name="1_쌍용수량0905_설계내역서1월7일_화명조경_울산FITNESS인테리어_1-대구상인-7층-031001" xfId="1099" xr:uid="{00000000-0005-0000-0000-00004A040000}"/>
    <cellStyle name="1_쌍용수량0905_울산FITNESS인테리어" xfId="1100" xr:uid="{00000000-0005-0000-0000-00004B040000}"/>
    <cellStyle name="1_쌍용수량0905_울산FITNESS인테리어_1-대구상인-7층-031001" xfId="1101" xr:uid="{00000000-0005-0000-0000-00004C040000}"/>
    <cellStyle name="1_쌍용수량0905_화명조경" xfId="1102" xr:uid="{00000000-0005-0000-0000-00004D040000}"/>
    <cellStyle name="1_쌍용수량0905_화명조경_1-대구상인-7층-031001" xfId="1103" xr:uid="{00000000-0005-0000-0000-00004E040000}"/>
    <cellStyle name="1_쌍용수량0905_화명조경_백화점화장실인테리어" xfId="1104" xr:uid="{00000000-0005-0000-0000-00004F040000}"/>
    <cellStyle name="1_쌍용수량0905_화명조경_백화점화장실인테리어_1-대구상인-7층-031001" xfId="1105" xr:uid="{00000000-0005-0000-0000-000050040000}"/>
    <cellStyle name="1_쌍용수량0905_화명조경_울산FITNESS인테리어" xfId="1106" xr:uid="{00000000-0005-0000-0000-000051040000}"/>
    <cellStyle name="1_쌍용수량0905_화명조경_울산FITNESS인테리어_1-대구상인-7층-031001" xfId="1107" xr:uid="{00000000-0005-0000-0000-000052040000}"/>
    <cellStyle name="1_원가계산서" xfId="1108" xr:uid="{00000000-0005-0000-0000-000053040000}"/>
    <cellStyle name="1_원가계산서_00갑지" xfId="1109" xr:uid="{00000000-0005-0000-0000-000054040000}"/>
    <cellStyle name="1_원가계산서_00갑지_1-대구상인-7층-031001" xfId="1110" xr:uid="{00000000-0005-0000-0000-000055040000}"/>
    <cellStyle name="1_원가계산서_00갑지_백화점화장실인테리어" xfId="1111" xr:uid="{00000000-0005-0000-0000-000056040000}"/>
    <cellStyle name="1_원가계산서_00갑지_백화점화장실인테리어_1-대구상인-7층-031001" xfId="1112" xr:uid="{00000000-0005-0000-0000-000057040000}"/>
    <cellStyle name="1_원가계산서_00갑지_설계내역서" xfId="1113" xr:uid="{00000000-0005-0000-0000-000058040000}"/>
    <cellStyle name="1_원가계산서_00갑지_설계내역서_1-대구상인-7층-031001" xfId="1114" xr:uid="{00000000-0005-0000-0000-000059040000}"/>
    <cellStyle name="1_원가계산서_00갑지_설계내역서_백화점화장실인테리어" xfId="1115" xr:uid="{00000000-0005-0000-0000-00005A040000}"/>
    <cellStyle name="1_원가계산서_00갑지_설계내역서_백화점화장실인테리어_1-대구상인-7층-031001" xfId="1116" xr:uid="{00000000-0005-0000-0000-00005B040000}"/>
    <cellStyle name="1_원가계산서_00갑지_설계내역서_울산FITNESS인테리어" xfId="1117" xr:uid="{00000000-0005-0000-0000-00005C040000}"/>
    <cellStyle name="1_원가계산서_00갑지_설계내역서_울산FITNESS인테리어_1-대구상인-7층-031001" xfId="1118" xr:uid="{00000000-0005-0000-0000-00005D040000}"/>
    <cellStyle name="1_원가계산서_00갑지_설계내역서_화명조경" xfId="1119" xr:uid="{00000000-0005-0000-0000-00005E040000}"/>
    <cellStyle name="1_원가계산서_00갑지_설계내역서_화명조경_1-대구상인-7층-031001" xfId="1120" xr:uid="{00000000-0005-0000-0000-00005F040000}"/>
    <cellStyle name="1_원가계산서_00갑지_설계내역서_화명조경_백화점화장실인테리어" xfId="1121" xr:uid="{00000000-0005-0000-0000-000060040000}"/>
    <cellStyle name="1_원가계산서_00갑지_설계내역서_화명조경_백화점화장실인테리어_1-대구상인-7층-031001" xfId="1122" xr:uid="{00000000-0005-0000-0000-000061040000}"/>
    <cellStyle name="1_원가계산서_00갑지_설계내역서_화명조경_울산FITNESS인테리어" xfId="1123" xr:uid="{00000000-0005-0000-0000-000062040000}"/>
    <cellStyle name="1_원가계산서_00갑지_설계내역서_화명조경_울산FITNESS인테리어_1-대구상인-7층-031001" xfId="1124" xr:uid="{00000000-0005-0000-0000-000063040000}"/>
    <cellStyle name="1_원가계산서_00갑지_설계내역서1월7일" xfId="1125" xr:uid="{00000000-0005-0000-0000-000064040000}"/>
    <cellStyle name="1_원가계산서_00갑지_설계내역서1월7일_1-대구상인-7층-031001" xfId="1126" xr:uid="{00000000-0005-0000-0000-000065040000}"/>
    <cellStyle name="1_원가계산서_00갑지_설계내역서1월7일_백화점화장실인테리어" xfId="1127" xr:uid="{00000000-0005-0000-0000-000066040000}"/>
    <cellStyle name="1_원가계산서_00갑지_설계내역서1월7일_백화점화장실인테리어_1-대구상인-7층-031001" xfId="1128" xr:uid="{00000000-0005-0000-0000-000067040000}"/>
    <cellStyle name="1_원가계산서_00갑지_설계내역서1월7일_울산FITNESS인테리어" xfId="1129" xr:uid="{00000000-0005-0000-0000-000068040000}"/>
    <cellStyle name="1_원가계산서_00갑지_설계내역서1월7일_울산FITNESS인테리어_1-대구상인-7층-031001" xfId="1130" xr:uid="{00000000-0005-0000-0000-000069040000}"/>
    <cellStyle name="1_원가계산서_00갑지_설계내역서1월7일_화명조경" xfId="1131" xr:uid="{00000000-0005-0000-0000-00006A040000}"/>
    <cellStyle name="1_원가계산서_00갑지_설계내역서1월7일_화명조경_1-대구상인-7층-031001" xfId="1132" xr:uid="{00000000-0005-0000-0000-00006B040000}"/>
    <cellStyle name="1_원가계산서_00갑지_설계내역서1월7일_화명조경_백화점화장실인테리어" xfId="1133" xr:uid="{00000000-0005-0000-0000-00006C040000}"/>
    <cellStyle name="1_원가계산서_00갑지_설계내역서1월7일_화명조경_백화점화장실인테리어_1-대구상인-7층-031001" xfId="1134" xr:uid="{00000000-0005-0000-0000-00006D040000}"/>
    <cellStyle name="1_원가계산서_00갑지_설계내역서1월7일_화명조경_울산FITNESS인테리어" xfId="1135" xr:uid="{00000000-0005-0000-0000-00006E040000}"/>
    <cellStyle name="1_원가계산서_00갑지_설계내역서1월7일_화명조경_울산FITNESS인테리어_1-대구상인-7층-031001" xfId="1136" xr:uid="{00000000-0005-0000-0000-00006F040000}"/>
    <cellStyle name="1_원가계산서_00갑지_울산FITNESS인테리어" xfId="1137" xr:uid="{00000000-0005-0000-0000-000070040000}"/>
    <cellStyle name="1_원가계산서_00갑지_울산FITNESS인테리어_1-대구상인-7층-031001" xfId="1138" xr:uid="{00000000-0005-0000-0000-000071040000}"/>
    <cellStyle name="1_원가계산서_00갑지_화명조경" xfId="1139" xr:uid="{00000000-0005-0000-0000-000072040000}"/>
    <cellStyle name="1_원가계산서_00갑지_화명조경_1-대구상인-7층-031001" xfId="1140" xr:uid="{00000000-0005-0000-0000-000073040000}"/>
    <cellStyle name="1_원가계산서_00갑지_화명조경_백화점화장실인테리어" xfId="1141" xr:uid="{00000000-0005-0000-0000-000074040000}"/>
    <cellStyle name="1_원가계산서_00갑지_화명조경_백화점화장실인테리어_1-대구상인-7층-031001" xfId="1142" xr:uid="{00000000-0005-0000-0000-000075040000}"/>
    <cellStyle name="1_원가계산서_00갑지_화명조경_울산FITNESS인테리어" xfId="1143" xr:uid="{00000000-0005-0000-0000-000076040000}"/>
    <cellStyle name="1_원가계산서_00갑지_화명조경_울산FITNESS인테리어_1-대구상인-7층-031001" xfId="1144" xr:uid="{00000000-0005-0000-0000-000077040000}"/>
    <cellStyle name="1_원가계산서_1-대구상인-7층-031001" xfId="1145" xr:uid="{00000000-0005-0000-0000-000078040000}"/>
    <cellStyle name="1_원가계산서_과천놀이터설계서" xfId="1146" xr:uid="{00000000-0005-0000-0000-000079040000}"/>
    <cellStyle name="1_원가계산서_과천놀이터설계서_1-대구상인-7층-031001" xfId="1147" xr:uid="{00000000-0005-0000-0000-00007A040000}"/>
    <cellStyle name="1_원가계산서_과천놀이터설계서_백화점화장실인테리어" xfId="1148" xr:uid="{00000000-0005-0000-0000-00007B040000}"/>
    <cellStyle name="1_원가계산서_과천놀이터설계서_백화점화장실인테리어_1-대구상인-7층-031001" xfId="1149" xr:uid="{00000000-0005-0000-0000-00007C040000}"/>
    <cellStyle name="1_원가계산서_과천놀이터설계서_설계내역서" xfId="1150" xr:uid="{00000000-0005-0000-0000-00007D040000}"/>
    <cellStyle name="1_원가계산서_과천놀이터설계서_설계내역서_1-대구상인-7층-031001" xfId="1151" xr:uid="{00000000-0005-0000-0000-00007E040000}"/>
    <cellStyle name="1_원가계산서_과천놀이터설계서_설계내역서_백화점화장실인테리어" xfId="1152" xr:uid="{00000000-0005-0000-0000-00007F040000}"/>
    <cellStyle name="1_원가계산서_과천놀이터설계서_설계내역서_백화점화장실인테리어_1-대구상인-7층-031001" xfId="1153" xr:uid="{00000000-0005-0000-0000-000080040000}"/>
    <cellStyle name="1_원가계산서_과천놀이터설계서_설계내역서_울산FITNESS인테리어" xfId="1154" xr:uid="{00000000-0005-0000-0000-000081040000}"/>
    <cellStyle name="1_원가계산서_과천놀이터설계서_설계내역서_울산FITNESS인테리어_1-대구상인-7층-031001" xfId="1155" xr:uid="{00000000-0005-0000-0000-000082040000}"/>
    <cellStyle name="1_원가계산서_과천놀이터설계서_설계내역서_화명조경" xfId="1156" xr:uid="{00000000-0005-0000-0000-000083040000}"/>
    <cellStyle name="1_원가계산서_과천놀이터설계서_설계내역서_화명조경_1-대구상인-7층-031001" xfId="1157" xr:uid="{00000000-0005-0000-0000-000084040000}"/>
    <cellStyle name="1_원가계산서_과천놀이터설계서_설계내역서_화명조경_백화점화장실인테리어" xfId="1158" xr:uid="{00000000-0005-0000-0000-000085040000}"/>
    <cellStyle name="1_원가계산서_과천놀이터설계서_설계내역서_화명조경_백화점화장실인테리어_1-대구상인-7층-031001" xfId="1159" xr:uid="{00000000-0005-0000-0000-000086040000}"/>
    <cellStyle name="1_원가계산서_과천놀이터설계서_설계내역서_화명조경_울산FITNESS인테리어" xfId="1160" xr:uid="{00000000-0005-0000-0000-000087040000}"/>
    <cellStyle name="1_원가계산서_과천놀이터설계서_설계내역서_화명조경_울산FITNESS인테리어_1-대구상인-7층-031001" xfId="1161" xr:uid="{00000000-0005-0000-0000-000088040000}"/>
    <cellStyle name="1_원가계산서_과천놀이터설계서_설계내역서1월7일" xfId="1162" xr:uid="{00000000-0005-0000-0000-000089040000}"/>
    <cellStyle name="1_원가계산서_과천놀이터설계서_설계내역서1월7일_1-대구상인-7층-031001" xfId="1163" xr:uid="{00000000-0005-0000-0000-00008A040000}"/>
    <cellStyle name="1_원가계산서_과천놀이터설계서_설계내역서1월7일_백화점화장실인테리어" xfId="1164" xr:uid="{00000000-0005-0000-0000-00008B040000}"/>
    <cellStyle name="1_원가계산서_과천놀이터설계서_설계내역서1월7일_백화점화장실인테리어_1-대구상인-7층-031001" xfId="1165" xr:uid="{00000000-0005-0000-0000-00008C040000}"/>
    <cellStyle name="1_원가계산서_과천놀이터설계서_설계내역서1월7일_울산FITNESS인테리어" xfId="1166" xr:uid="{00000000-0005-0000-0000-00008D040000}"/>
    <cellStyle name="1_원가계산서_과천놀이터설계서_설계내역서1월7일_울산FITNESS인테리어_1-대구상인-7층-031001" xfId="1167" xr:uid="{00000000-0005-0000-0000-00008E040000}"/>
    <cellStyle name="1_원가계산서_과천놀이터설계서_설계내역서1월7일_화명조경" xfId="1168" xr:uid="{00000000-0005-0000-0000-00008F040000}"/>
    <cellStyle name="1_원가계산서_과천놀이터설계서_설계내역서1월7일_화명조경_1-대구상인-7층-031001" xfId="1169" xr:uid="{00000000-0005-0000-0000-000090040000}"/>
    <cellStyle name="1_원가계산서_과천놀이터설계서_설계내역서1월7일_화명조경_백화점화장실인테리어" xfId="1170" xr:uid="{00000000-0005-0000-0000-000091040000}"/>
    <cellStyle name="1_원가계산서_과천놀이터설계서_설계내역서1월7일_화명조경_백화점화장실인테리어_1-대구상인-7층-031001" xfId="1171" xr:uid="{00000000-0005-0000-0000-000092040000}"/>
    <cellStyle name="1_원가계산서_과천놀이터설계서_설계내역서1월7일_화명조경_울산FITNESS인테리어" xfId="1172" xr:uid="{00000000-0005-0000-0000-000093040000}"/>
    <cellStyle name="1_원가계산서_과천놀이터설계서_설계내역서1월7일_화명조경_울산FITNESS인테리어_1-대구상인-7층-031001" xfId="1173" xr:uid="{00000000-0005-0000-0000-000094040000}"/>
    <cellStyle name="1_원가계산서_과천놀이터설계서_울산FITNESS인테리어" xfId="1174" xr:uid="{00000000-0005-0000-0000-000095040000}"/>
    <cellStyle name="1_원가계산서_과천놀이터설계서_울산FITNESS인테리어_1-대구상인-7층-031001" xfId="1175" xr:uid="{00000000-0005-0000-0000-000096040000}"/>
    <cellStyle name="1_원가계산서_과천놀이터설계서_화명조경" xfId="1176" xr:uid="{00000000-0005-0000-0000-000097040000}"/>
    <cellStyle name="1_원가계산서_과천놀이터설계서_화명조경_1-대구상인-7층-031001" xfId="1177" xr:uid="{00000000-0005-0000-0000-000098040000}"/>
    <cellStyle name="1_원가계산서_과천놀이터설계서_화명조경_백화점화장실인테리어" xfId="1178" xr:uid="{00000000-0005-0000-0000-000099040000}"/>
    <cellStyle name="1_원가계산서_과천놀이터설계서_화명조경_백화점화장실인테리어_1-대구상인-7층-031001" xfId="1179" xr:uid="{00000000-0005-0000-0000-00009A040000}"/>
    <cellStyle name="1_원가계산서_과천놀이터설계서_화명조경_울산FITNESS인테리어" xfId="1180" xr:uid="{00000000-0005-0000-0000-00009B040000}"/>
    <cellStyle name="1_원가계산서_과천놀이터설계서_화명조경_울산FITNESS인테리어_1-대구상인-7층-031001" xfId="1181" xr:uid="{00000000-0005-0000-0000-00009C040000}"/>
    <cellStyle name="1_원가계산서_백화점화장실인테리어" xfId="1182" xr:uid="{00000000-0005-0000-0000-00009D040000}"/>
    <cellStyle name="1_원가계산서_백화점화장실인테리어_1-대구상인-7층-031001" xfId="1183" xr:uid="{00000000-0005-0000-0000-00009E040000}"/>
    <cellStyle name="1_원가계산서_울산FITNESS인테리어" xfId="1184" xr:uid="{00000000-0005-0000-0000-00009F040000}"/>
    <cellStyle name="1_원가계산서_울산FITNESS인테리어_1-대구상인-7층-031001" xfId="1185" xr:uid="{00000000-0005-0000-0000-0000A0040000}"/>
    <cellStyle name="1_원가계산서_총괄갑지" xfId="1186" xr:uid="{00000000-0005-0000-0000-0000A1040000}"/>
    <cellStyle name="1_원가계산서_총괄갑지_1-대구상인-7층-031001" xfId="1187" xr:uid="{00000000-0005-0000-0000-0000A2040000}"/>
    <cellStyle name="1_원가계산서_총괄갑지_백화점화장실인테리어" xfId="1188" xr:uid="{00000000-0005-0000-0000-0000A3040000}"/>
    <cellStyle name="1_원가계산서_총괄갑지_백화점화장실인테리어_1-대구상인-7층-031001" xfId="1189" xr:uid="{00000000-0005-0000-0000-0000A4040000}"/>
    <cellStyle name="1_원가계산서_총괄갑지_설계내역서" xfId="1190" xr:uid="{00000000-0005-0000-0000-0000A5040000}"/>
    <cellStyle name="1_원가계산서_총괄갑지_설계내역서_1-대구상인-7층-031001" xfId="1191" xr:uid="{00000000-0005-0000-0000-0000A6040000}"/>
    <cellStyle name="1_원가계산서_총괄갑지_설계내역서_백화점화장실인테리어" xfId="1192" xr:uid="{00000000-0005-0000-0000-0000A7040000}"/>
    <cellStyle name="1_원가계산서_총괄갑지_설계내역서_백화점화장실인테리어_1-대구상인-7층-031001" xfId="1193" xr:uid="{00000000-0005-0000-0000-0000A8040000}"/>
    <cellStyle name="1_원가계산서_총괄갑지_설계내역서_울산FITNESS인테리어" xfId="1194" xr:uid="{00000000-0005-0000-0000-0000A9040000}"/>
    <cellStyle name="1_원가계산서_총괄갑지_설계내역서_울산FITNESS인테리어_1-대구상인-7층-031001" xfId="1195" xr:uid="{00000000-0005-0000-0000-0000AA040000}"/>
    <cellStyle name="1_원가계산서_총괄갑지_설계내역서_화명조경" xfId="1196" xr:uid="{00000000-0005-0000-0000-0000AB040000}"/>
    <cellStyle name="1_원가계산서_총괄갑지_설계내역서_화명조경_1-대구상인-7층-031001" xfId="1197" xr:uid="{00000000-0005-0000-0000-0000AC040000}"/>
    <cellStyle name="1_원가계산서_총괄갑지_설계내역서_화명조경_백화점화장실인테리어" xfId="1198" xr:uid="{00000000-0005-0000-0000-0000AD040000}"/>
    <cellStyle name="1_원가계산서_총괄갑지_설계내역서_화명조경_백화점화장실인테리어_1-대구상인-7층-031001" xfId="1199" xr:uid="{00000000-0005-0000-0000-0000AE040000}"/>
    <cellStyle name="1_원가계산서_총괄갑지_설계내역서_화명조경_울산FITNESS인테리어" xfId="1200" xr:uid="{00000000-0005-0000-0000-0000AF040000}"/>
    <cellStyle name="1_원가계산서_총괄갑지_설계내역서_화명조경_울산FITNESS인테리어_1-대구상인-7층-031001" xfId="1201" xr:uid="{00000000-0005-0000-0000-0000B0040000}"/>
    <cellStyle name="1_원가계산서_총괄갑지_설계내역서1월7일" xfId="1202" xr:uid="{00000000-0005-0000-0000-0000B1040000}"/>
    <cellStyle name="1_원가계산서_총괄갑지_설계내역서1월7일_1-대구상인-7층-031001" xfId="1203" xr:uid="{00000000-0005-0000-0000-0000B2040000}"/>
    <cellStyle name="1_원가계산서_총괄갑지_설계내역서1월7일_백화점화장실인테리어" xfId="1204" xr:uid="{00000000-0005-0000-0000-0000B3040000}"/>
    <cellStyle name="1_원가계산서_총괄갑지_설계내역서1월7일_백화점화장실인테리어_1-대구상인-7층-031001" xfId="1205" xr:uid="{00000000-0005-0000-0000-0000B4040000}"/>
    <cellStyle name="1_원가계산서_총괄갑지_설계내역서1월7일_울산FITNESS인테리어" xfId="1206" xr:uid="{00000000-0005-0000-0000-0000B5040000}"/>
    <cellStyle name="1_원가계산서_총괄갑지_설계내역서1월7일_울산FITNESS인테리어_1-대구상인-7층-031001" xfId="1207" xr:uid="{00000000-0005-0000-0000-0000B6040000}"/>
    <cellStyle name="1_원가계산서_총괄갑지_설계내역서1월7일_화명조경" xfId="1208" xr:uid="{00000000-0005-0000-0000-0000B7040000}"/>
    <cellStyle name="1_원가계산서_총괄갑지_설계내역서1월7일_화명조경_1-대구상인-7층-031001" xfId="1209" xr:uid="{00000000-0005-0000-0000-0000B8040000}"/>
    <cellStyle name="1_원가계산서_총괄갑지_설계내역서1월7일_화명조경_백화점화장실인테리어" xfId="1210" xr:uid="{00000000-0005-0000-0000-0000B9040000}"/>
    <cellStyle name="1_원가계산서_총괄갑지_설계내역서1월7일_화명조경_백화점화장실인테리어_1-대구상인-7층-031001" xfId="1211" xr:uid="{00000000-0005-0000-0000-0000BA040000}"/>
    <cellStyle name="1_원가계산서_총괄갑지_설계내역서1월7일_화명조경_울산FITNESS인테리어" xfId="1212" xr:uid="{00000000-0005-0000-0000-0000BB040000}"/>
    <cellStyle name="1_원가계산서_총괄갑지_설계내역서1월7일_화명조경_울산FITNESS인테리어_1-대구상인-7층-031001" xfId="1213" xr:uid="{00000000-0005-0000-0000-0000BC040000}"/>
    <cellStyle name="1_원가계산서_총괄갑지_울산FITNESS인테리어" xfId="1214" xr:uid="{00000000-0005-0000-0000-0000BD040000}"/>
    <cellStyle name="1_원가계산서_총괄갑지_울산FITNESS인테리어_1-대구상인-7층-031001" xfId="1215" xr:uid="{00000000-0005-0000-0000-0000BE040000}"/>
    <cellStyle name="1_원가계산서_총괄갑지_화명조경" xfId="1216" xr:uid="{00000000-0005-0000-0000-0000BF040000}"/>
    <cellStyle name="1_원가계산서_총괄갑지_화명조경_1-대구상인-7층-031001" xfId="1217" xr:uid="{00000000-0005-0000-0000-0000C0040000}"/>
    <cellStyle name="1_원가계산서_총괄갑지_화명조경_백화점화장실인테리어" xfId="1218" xr:uid="{00000000-0005-0000-0000-0000C1040000}"/>
    <cellStyle name="1_원가계산서_총괄갑지_화명조경_백화점화장실인테리어_1-대구상인-7층-031001" xfId="1219" xr:uid="{00000000-0005-0000-0000-0000C2040000}"/>
    <cellStyle name="1_원가계산서_총괄갑지_화명조경_울산FITNESS인테리어" xfId="1220" xr:uid="{00000000-0005-0000-0000-0000C3040000}"/>
    <cellStyle name="1_원가계산서_총괄갑지_화명조경_울산FITNESS인테리어_1-대구상인-7층-031001" xfId="1221" xr:uid="{00000000-0005-0000-0000-0000C4040000}"/>
    <cellStyle name="1_원가계산서_총괄내역서" xfId="1222" xr:uid="{00000000-0005-0000-0000-0000C5040000}"/>
    <cellStyle name="1_원가계산서_총괄내역서_1-대구상인-7층-031001" xfId="1223" xr:uid="{00000000-0005-0000-0000-0000C6040000}"/>
    <cellStyle name="1_원가계산서_총괄내역서_백화점화장실인테리어" xfId="1224" xr:uid="{00000000-0005-0000-0000-0000C7040000}"/>
    <cellStyle name="1_원가계산서_총괄내역서_백화점화장실인테리어_1-대구상인-7층-031001" xfId="1225" xr:uid="{00000000-0005-0000-0000-0000C8040000}"/>
    <cellStyle name="1_원가계산서_총괄내역서_설계내역서" xfId="1226" xr:uid="{00000000-0005-0000-0000-0000C9040000}"/>
    <cellStyle name="1_원가계산서_총괄내역서_설계내역서_1-대구상인-7층-031001" xfId="1227" xr:uid="{00000000-0005-0000-0000-0000CA040000}"/>
    <cellStyle name="1_원가계산서_총괄내역서_설계내역서_백화점화장실인테리어" xfId="1228" xr:uid="{00000000-0005-0000-0000-0000CB040000}"/>
    <cellStyle name="1_원가계산서_총괄내역서_설계내역서_백화점화장실인테리어_1-대구상인-7층-031001" xfId="1229" xr:uid="{00000000-0005-0000-0000-0000CC040000}"/>
    <cellStyle name="1_원가계산서_총괄내역서_설계내역서_울산FITNESS인테리어" xfId="1230" xr:uid="{00000000-0005-0000-0000-0000CD040000}"/>
    <cellStyle name="1_원가계산서_총괄내역서_설계내역서_울산FITNESS인테리어_1-대구상인-7층-031001" xfId="1231" xr:uid="{00000000-0005-0000-0000-0000CE040000}"/>
    <cellStyle name="1_원가계산서_총괄내역서_설계내역서_화명조경" xfId="1232" xr:uid="{00000000-0005-0000-0000-0000CF040000}"/>
    <cellStyle name="1_원가계산서_총괄내역서_설계내역서_화명조경_1-대구상인-7층-031001" xfId="1233" xr:uid="{00000000-0005-0000-0000-0000D0040000}"/>
    <cellStyle name="1_원가계산서_총괄내역서_설계내역서_화명조경_백화점화장실인테리어" xfId="1234" xr:uid="{00000000-0005-0000-0000-0000D1040000}"/>
    <cellStyle name="1_원가계산서_총괄내역서_설계내역서_화명조경_백화점화장실인테리어_1-대구상인-7층-031001" xfId="1235" xr:uid="{00000000-0005-0000-0000-0000D2040000}"/>
    <cellStyle name="1_원가계산서_총괄내역서_설계내역서_화명조경_울산FITNESS인테리어" xfId="1236" xr:uid="{00000000-0005-0000-0000-0000D3040000}"/>
    <cellStyle name="1_원가계산서_총괄내역서_설계내역서_화명조경_울산FITNESS인테리어_1-대구상인-7층-031001" xfId="1237" xr:uid="{00000000-0005-0000-0000-0000D4040000}"/>
    <cellStyle name="1_원가계산서_총괄내역서_설계내역서1월7일" xfId="1238" xr:uid="{00000000-0005-0000-0000-0000D5040000}"/>
    <cellStyle name="1_원가계산서_총괄내역서_설계내역서1월7일_1-대구상인-7층-031001" xfId="1239" xr:uid="{00000000-0005-0000-0000-0000D6040000}"/>
    <cellStyle name="1_원가계산서_총괄내역서_설계내역서1월7일_백화점화장실인테리어" xfId="1240" xr:uid="{00000000-0005-0000-0000-0000D7040000}"/>
    <cellStyle name="1_원가계산서_총괄내역서_설계내역서1월7일_백화점화장실인테리어_1-대구상인-7층-031001" xfId="1241" xr:uid="{00000000-0005-0000-0000-0000D8040000}"/>
    <cellStyle name="1_원가계산서_총괄내역서_설계내역서1월7일_울산FITNESS인테리어" xfId="1242" xr:uid="{00000000-0005-0000-0000-0000D9040000}"/>
    <cellStyle name="1_원가계산서_총괄내역서_설계내역서1월7일_울산FITNESS인테리어_1-대구상인-7층-031001" xfId="1243" xr:uid="{00000000-0005-0000-0000-0000DA040000}"/>
    <cellStyle name="1_원가계산서_총괄내역서_설계내역서1월7일_화명조경" xfId="1244" xr:uid="{00000000-0005-0000-0000-0000DB040000}"/>
    <cellStyle name="1_원가계산서_총괄내역서_설계내역서1월7일_화명조경_1-대구상인-7층-031001" xfId="1245" xr:uid="{00000000-0005-0000-0000-0000DC040000}"/>
    <cellStyle name="1_원가계산서_총괄내역서_설계내역서1월7일_화명조경_백화점화장실인테리어" xfId="1246" xr:uid="{00000000-0005-0000-0000-0000DD040000}"/>
    <cellStyle name="1_원가계산서_총괄내역서_설계내역서1월7일_화명조경_백화점화장실인테리어_1-대구상인-7층-031001" xfId="1247" xr:uid="{00000000-0005-0000-0000-0000DE040000}"/>
    <cellStyle name="1_원가계산서_총괄내역서_설계내역서1월7일_화명조경_울산FITNESS인테리어" xfId="1248" xr:uid="{00000000-0005-0000-0000-0000DF040000}"/>
    <cellStyle name="1_원가계산서_총괄내역서_설계내역서1월7일_화명조경_울산FITNESS인테리어_1-대구상인-7층-031001" xfId="1249" xr:uid="{00000000-0005-0000-0000-0000E0040000}"/>
    <cellStyle name="1_원가계산서_총괄내역서_울산FITNESS인테리어" xfId="1250" xr:uid="{00000000-0005-0000-0000-0000E1040000}"/>
    <cellStyle name="1_원가계산서_총괄내역서_울산FITNESS인테리어_1-대구상인-7층-031001" xfId="1251" xr:uid="{00000000-0005-0000-0000-0000E2040000}"/>
    <cellStyle name="1_원가계산서_총괄내역서_화명조경" xfId="1252" xr:uid="{00000000-0005-0000-0000-0000E3040000}"/>
    <cellStyle name="1_원가계산서_총괄내역서_화명조경_1-대구상인-7층-031001" xfId="1253" xr:uid="{00000000-0005-0000-0000-0000E4040000}"/>
    <cellStyle name="1_원가계산서_총괄내역서_화명조경_백화점화장실인테리어" xfId="1254" xr:uid="{00000000-0005-0000-0000-0000E5040000}"/>
    <cellStyle name="1_원가계산서_총괄내역서_화명조경_백화점화장실인테리어_1-대구상인-7층-031001" xfId="1255" xr:uid="{00000000-0005-0000-0000-0000E6040000}"/>
    <cellStyle name="1_원가계산서_총괄내역서_화명조경_울산FITNESS인테리어" xfId="1256" xr:uid="{00000000-0005-0000-0000-0000E7040000}"/>
    <cellStyle name="1_원가계산서_총괄내역서_화명조경_울산FITNESS인테리어_1-대구상인-7층-031001" xfId="1257" xr:uid="{00000000-0005-0000-0000-0000E8040000}"/>
    <cellStyle name="1_원가계산서_화명조경" xfId="1258" xr:uid="{00000000-0005-0000-0000-0000E9040000}"/>
    <cellStyle name="1_원가계산서_화명조경_1-대구상인-7층-031001" xfId="1259" xr:uid="{00000000-0005-0000-0000-0000EA040000}"/>
    <cellStyle name="1_원가계산서_화명조경_백화점화장실인테리어" xfId="1260" xr:uid="{00000000-0005-0000-0000-0000EB040000}"/>
    <cellStyle name="1_원가계산서_화명조경_백화점화장실인테리어_1-대구상인-7층-031001" xfId="1261" xr:uid="{00000000-0005-0000-0000-0000EC040000}"/>
    <cellStyle name="1_원가계산서_화명조경_울산FITNESS인테리어" xfId="1262" xr:uid="{00000000-0005-0000-0000-0000ED040000}"/>
    <cellStyle name="1_원가계산서_화명조경_울산FITNESS인테리어_1-대구상인-7층-031001" xfId="1263" xr:uid="{00000000-0005-0000-0000-0000EE040000}"/>
    <cellStyle name="1_은파수량집계" xfId="1264" xr:uid="{00000000-0005-0000-0000-0000EF040000}"/>
    <cellStyle name="1_터미널1-0" xfId="1265" xr:uid="{00000000-0005-0000-0000-0000F0040000}"/>
    <cellStyle name="1_터미널1-0_1-대구상인-7층-031001" xfId="1266" xr:uid="{00000000-0005-0000-0000-0000F1040000}"/>
    <cellStyle name="1_터미널1-0_백화점화장실인테리어" xfId="1267" xr:uid="{00000000-0005-0000-0000-0000F2040000}"/>
    <cellStyle name="1_터미널1-0_백화점화장실인테리어_1-대구상인-7층-031001" xfId="1268" xr:uid="{00000000-0005-0000-0000-0000F3040000}"/>
    <cellStyle name="1_터미널1-0_설계내역서" xfId="1269" xr:uid="{00000000-0005-0000-0000-0000F4040000}"/>
    <cellStyle name="1_터미널1-0_설계내역서_1-대구상인-7층-031001" xfId="1270" xr:uid="{00000000-0005-0000-0000-0000F5040000}"/>
    <cellStyle name="1_터미널1-0_설계내역서_백화점화장실인테리어" xfId="1271" xr:uid="{00000000-0005-0000-0000-0000F6040000}"/>
    <cellStyle name="1_터미널1-0_설계내역서_백화점화장실인테리어_1-대구상인-7층-031001" xfId="1272" xr:uid="{00000000-0005-0000-0000-0000F7040000}"/>
    <cellStyle name="1_터미널1-0_설계내역서_울산FITNESS인테리어" xfId="1273" xr:uid="{00000000-0005-0000-0000-0000F8040000}"/>
    <cellStyle name="1_터미널1-0_설계내역서_울산FITNESS인테리어_1-대구상인-7층-031001" xfId="1274" xr:uid="{00000000-0005-0000-0000-0000F9040000}"/>
    <cellStyle name="1_터미널1-0_설계내역서_화명조경" xfId="1275" xr:uid="{00000000-0005-0000-0000-0000FA040000}"/>
    <cellStyle name="1_터미널1-0_설계내역서_화명조경_1-대구상인-7층-031001" xfId="1276" xr:uid="{00000000-0005-0000-0000-0000FB040000}"/>
    <cellStyle name="1_터미널1-0_설계내역서_화명조경_백화점화장실인테리어" xfId="1277" xr:uid="{00000000-0005-0000-0000-0000FC040000}"/>
    <cellStyle name="1_터미널1-0_설계내역서_화명조경_백화점화장실인테리어_1-대구상인-7층-031001" xfId="1278" xr:uid="{00000000-0005-0000-0000-0000FD040000}"/>
    <cellStyle name="1_터미널1-0_설계내역서_화명조경_울산FITNESS인테리어" xfId="1279" xr:uid="{00000000-0005-0000-0000-0000FE040000}"/>
    <cellStyle name="1_터미널1-0_설계내역서_화명조경_울산FITNESS인테리어_1-대구상인-7층-031001" xfId="1280" xr:uid="{00000000-0005-0000-0000-0000FF040000}"/>
    <cellStyle name="1_터미널1-0_설계내역서1월7일" xfId="1281" xr:uid="{00000000-0005-0000-0000-000000050000}"/>
    <cellStyle name="1_터미널1-0_설계내역서1월7일_1-대구상인-7층-031001" xfId="1282" xr:uid="{00000000-0005-0000-0000-000001050000}"/>
    <cellStyle name="1_터미널1-0_설계내역서1월7일_백화점화장실인테리어" xfId="1283" xr:uid="{00000000-0005-0000-0000-000002050000}"/>
    <cellStyle name="1_터미널1-0_설계내역서1월7일_백화점화장실인테리어_1-대구상인-7층-031001" xfId="1284" xr:uid="{00000000-0005-0000-0000-000003050000}"/>
    <cellStyle name="1_터미널1-0_설계내역서1월7일_울산FITNESS인테리어" xfId="1285" xr:uid="{00000000-0005-0000-0000-000004050000}"/>
    <cellStyle name="1_터미널1-0_설계내역서1월7일_울산FITNESS인테리어_1-대구상인-7층-031001" xfId="1286" xr:uid="{00000000-0005-0000-0000-000005050000}"/>
    <cellStyle name="1_터미널1-0_설계내역서1월7일_화명조경" xfId="1287" xr:uid="{00000000-0005-0000-0000-000006050000}"/>
    <cellStyle name="1_터미널1-0_설계내역서1월7일_화명조경_1-대구상인-7층-031001" xfId="1288" xr:uid="{00000000-0005-0000-0000-000007050000}"/>
    <cellStyle name="1_터미널1-0_설계내역서1월7일_화명조경_백화점화장실인테리어" xfId="1289" xr:uid="{00000000-0005-0000-0000-000008050000}"/>
    <cellStyle name="1_터미널1-0_설계내역서1월7일_화명조경_백화점화장실인테리어_1-대구상인-7층-031001" xfId="1290" xr:uid="{00000000-0005-0000-0000-000009050000}"/>
    <cellStyle name="1_터미널1-0_설계내역서1월7일_화명조경_울산FITNESS인테리어" xfId="1291" xr:uid="{00000000-0005-0000-0000-00000A050000}"/>
    <cellStyle name="1_터미널1-0_설계내역서1월7일_화명조경_울산FITNESS인테리어_1-대구상인-7층-031001" xfId="1292" xr:uid="{00000000-0005-0000-0000-00000B050000}"/>
    <cellStyle name="1_터미널1-0_쌍용수량0905" xfId="1293" xr:uid="{00000000-0005-0000-0000-00000C050000}"/>
    <cellStyle name="1_터미널1-0_쌍용수량0905_1-대구상인-7층-031001" xfId="1294" xr:uid="{00000000-0005-0000-0000-00000D050000}"/>
    <cellStyle name="1_터미널1-0_쌍용수량0905_백화점화장실인테리어" xfId="1295" xr:uid="{00000000-0005-0000-0000-00000E050000}"/>
    <cellStyle name="1_터미널1-0_쌍용수량0905_백화점화장실인테리어_1-대구상인-7층-031001" xfId="1296" xr:uid="{00000000-0005-0000-0000-00000F050000}"/>
    <cellStyle name="1_터미널1-0_쌍용수량0905_설계내역서" xfId="1297" xr:uid="{00000000-0005-0000-0000-000010050000}"/>
    <cellStyle name="1_터미널1-0_쌍용수량0905_설계내역서_1-대구상인-7층-031001" xfId="1298" xr:uid="{00000000-0005-0000-0000-000011050000}"/>
    <cellStyle name="1_터미널1-0_쌍용수량0905_설계내역서_백화점화장실인테리어" xfId="1299" xr:uid="{00000000-0005-0000-0000-000012050000}"/>
    <cellStyle name="1_터미널1-0_쌍용수량0905_설계내역서_백화점화장실인테리어_1-대구상인-7층-031001" xfId="1300" xr:uid="{00000000-0005-0000-0000-000013050000}"/>
    <cellStyle name="1_터미널1-0_쌍용수량0905_설계내역서_울산FITNESS인테리어" xfId="1301" xr:uid="{00000000-0005-0000-0000-000014050000}"/>
    <cellStyle name="1_터미널1-0_쌍용수량0905_설계내역서_울산FITNESS인테리어_1-대구상인-7층-031001" xfId="1302" xr:uid="{00000000-0005-0000-0000-000015050000}"/>
    <cellStyle name="1_터미널1-0_쌍용수량0905_설계내역서_화명조경" xfId="1303" xr:uid="{00000000-0005-0000-0000-000016050000}"/>
    <cellStyle name="1_터미널1-0_쌍용수량0905_설계내역서_화명조경_1-대구상인-7층-031001" xfId="1304" xr:uid="{00000000-0005-0000-0000-000017050000}"/>
    <cellStyle name="1_터미널1-0_쌍용수량0905_설계내역서_화명조경_백화점화장실인테리어" xfId="1305" xr:uid="{00000000-0005-0000-0000-000018050000}"/>
    <cellStyle name="1_터미널1-0_쌍용수량0905_설계내역서_화명조경_백화점화장실인테리어_1-대구상인-7층-031001" xfId="1306" xr:uid="{00000000-0005-0000-0000-000019050000}"/>
    <cellStyle name="1_터미널1-0_쌍용수량0905_설계내역서_화명조경_울산FITNESS인테리어" xfId="1307" xr:uid="{00000000-0005-0000-0000-00001A050000}"/>
    <cellStyle name="1_터미널1-0_쌍용수량0905_설계내역서_화명조경_울산FITNESS인테리어_1-대구상인-7층-031001" xfId="1308" xr:uid="{00000000-0005-0000-0000-00001B050000}"/>
    <cellStyle name="1_터미널1-0_쌍용수량0905_설계내역서1월7일" xfId="1309" xr:uid="{00000000-0005-0000-0000-00001C050000}"/>
    <cellStyle name="1_터미널1-0_쌍용수량0905_설계내역서1월7일_1-대구상인-7층-031001" xfId="1310" xr:uid="{00000000-0005-0000-0000-00001D050000}"/>
    <cellStyle name="1_터미널1-0_쌍용수량0905_설계내역서1월7일_백화점화장실인테리어" xfId="1311" xr:uid="{00000000-0005-0000-0000-00001E050000}"/>
    <cellStyle name="1_터미널1-0_쌍용수량0905_설계내역서1월7일_백화점화장실인테리어_1-대구상인-7층-031001" xfId="1312" xr:uid="{00000000-0005-0000-0000-00001F050000}"/>
    <cellStyle name="1_터미널1-0_쌍용수량0905_설계내역서1월7일_울산FITNESS인테리어" xfId="1313" xr:uid="{00000000-0005-0000-0000-000020050000}"/>
    <cellStyle name="1_터미널1-0_쌍용수량0905_설계내역서1월7일_울산FITNESS인테리어_1-대구상인-7층-031001" xfId="1314" xr:uid="{00000000-0005-0000-0000-000021050000}"/>
    <cellStyle name="1_터미널1-0_쌍용수량0905_설계내역서1월7일_화명조경" xfId="1315" xr:uid="{00000000-0005-0000-0000-000022050000}"/>
    <cellStyle name="1_터미널1-0_쌍용수량0905_설계내역서1월7일_화명조경_1-대구상인-7층-031001" xfId="1316" xr:uid="{00000000-0005-0000-0000-000023050000}"/>
    <cellStyle name="1_터미널1-0_쌍용수량0905_설계내역서1월7일_화명조경_백화점화장실인테리어" xfId="1317" xr:uid="{00000000-0005-0000-0000-000024050000}"/>
    <cellStyle name="1_터미널1-0_쌍용수량0905_설계내역서1월7일_화명조경_백화점화장실인테리어_1-대구상인-7층-031001" xfId="1318" xr:uid="{00000000-0005-0000-0000-000025050000}"/>
    <cellStyle name="1_터미널1-0_쌍용수량0905_설계내역서1월7일_화명조경_울산FITNESS인테리어" xfId="1319" xr:uid="{00000000-0005-0000-0000-000026050000}"/>
    <cellStyle name="1_터미널1-0_쌍용수량0905_설계내역서1월7일_화명조경_울산FITNESS인테리어_1-대구상인-7층-031001" xfId="1320" xr:uid="{00000000-0005-0000-0000-000027050000}"/>
    <cellStyle name="1_터미널1-0_쌍용수량0905_울산FITNESS인테리어" xfId="1321" xr:uid="{00000000-0005-0000-0000-000028050000}"/>
    <cellStyle name="1_터미널1-0_쌍용수량0905_울산FITNESS인테리어_1-대구상인-7층-031001" xfId="1322" xr:uid="{00000000-0005-0000-0000-000029050000}"/>
    <cellStyle name="1_터미널1-0_쌍용수량0905_화명조경" xfId="1323" xr:uid="{00000000-0005-0000-0000-00002A050000}"/>
    <cellStyle name="1_터미널1-0_쌍용수량0905_화명조경_1-대구상인-7층-031001" xfId="1324" xr:uid="{00000000-0005-0000-0000-00002B050000}"/>
    <cellStyle name="1_터미널1-0_쌍용수량0905_화명조경_백화점화장실인테리어" xfId="1325" xr:uid="{00000000-0005-0000-0000-00002C050000}"/>
    <cellStyle name="1_터미널1-0_쌍용수량0905_화명조경_백화점화장실인테리어_1-대구상인-7층-031001" xfId="1326" xr:uid="{00000000-0005-0000-0000-00002D050000}"/>
    <cellStyle name="1_터미널1-0_쌍용수량0905_화명조경_울산FITNESS인테리어" xfId="1327" xr:uid="{00000000-0005-0000-0000-00002E050000}"/>
    <cellStyle name="1_터미널1-0_쌍용수량0905_화명조경_울산FITNESS인테리어_1-대구상인-7층-031001" xfId="1328" xr:uid="{00000000-0005-0000-0000-00002F050000}"/>
    <cellStyle name="1_터미널1-0_울산FITNESS인테리어" xfId="1329" xr:uid="{00000000-0005-0000-0000-000030050000}"/>
    <cellStyle name="1_터미널1-0_울산FITNESS인테리어_1-대구상인-7층-031001" xfId="1330" xr:uid="{00000000-0005-0000-0000-000031050000}"/>
    <cellStyle name="1_터미널1-0_화명조경" xfId="1331" xr:uid="{00000000-0005-0000-0000-000032050000}"/>
    <cellStyle name="1_터미널1-0_화명조경_1-대구상인-7층-031001" xfId="1332" xr:uid="{00000000-0005-0000-0000-000033050000}"/>
    <cellStyle name="1_터미널1-0_화명조경_백화점화장실인테리어" xfId="1333" xr:uid="{00000000-0005-0000-0000-000034050000}"/>
    <cellStyle name="1_터미널1-0_화명조경_백화점화장실인테리어_1-대구상인-7층-031001" xfId="1334" xr:uid="{00000000-0005-0000-0000-000035050000}"/>
    <cellStyle name="1_터미널1-0_화명조경_울산FITNESS인테리어" xfId="1335" xr:uid="{00000000-0005-0000-0000-000036050000}"/>
    <cellStyle name="1_터미널1-0_화명조경_울산FITNESS인테리어_1-대구상인-7층-031001" xfId="1336" xr:uid="{00000000-0005-0000-0000-000037050000}"/>
    <cellStyle name="20% - 강조색1 10" xfId="1439" xr:uid="{00000000-0005-0000-0000-000038050000}"/>
    <cellStyle name="20% - 강조색1 10 2" xfId="1440" xr:uid="{00000000-0005-0000-0000-000039050000}"/>
    <cellStyle name="20% - 강조색1 10 3" xfId="1441" xr:uid="{00000000-0005-0000-0000-00003A050000}"/>
    <cellStyle name="20% - 강조색1 10 4" xfId="1442" xr:uid="{00000000-0005-0000-0000-00003B050000}"/>
    <cellStyle name="20% - 강조색1 11" xfId="1443" xr:uid="{00000000-0005-0000-0000-00003C050000}"/>
    <cellStyle name="20% - 강조색1 11 2" xfId="1444" xr:uid="{00000000-0005-0000-0000-00003D050000}"/>
    <cellStyle name="20% - 강조색1 11 3" xfId="1445" xr:uid="{00000000-0005-0000-0000-00003E050000}"/>
    <cellStyle name="20% - 강조색1 11 4" xfId="1446" xr:uid="{00000000-0005-0000-0000-00003F050000}"/>
    <cellStyle name="20% - 강조색1 12" xfId="1447" xr:uid="{00000000-0005-0000-0000-000040050000}"/>
    <cellStyle name="20% - 강조색1 12 2" xfId="1448" xr:uid="{00000000-0005-0000-0000-000041050000}"/>
    <cellStyle name="20% - 강조색1 12 3" xfId="1449" xr:uid="{00000000-0005-0000-0000-000042050000}"/>
    <cellStyle name="20% - 강조색1 12 4" xfId="1450" xr:uid="{00000000-0005-0000-0000-000043050000}"/>
    <cellStyle name="20% - 강조색1 13" xfId="1451" xr:uid="{00000000-0005-0000-0000-000044050000}"/>
    <cellStyle name="20% - 강조색1 13 2" xfId="1452" xr:uid="{00000000-0005-0000-0000-000045050000}"/>
    <cellStyle name="20% - 강조색1 13 3" xfId="1453" xr:uid="{00000000-0005-0000-0000-000046050000}"/>
    <cellStyle name="20% - 강조색1 13 4" xfId="1454" xr:uid="{00000000-0005-0000-0000-000047050000}"/>
    <cellStyle name="20% - 강조색1 14" xfId="1455" xr:uid="{00000000-0005-0000-0000-000048050000}"/>
    <cellStyle name="20% - 강조색1 14 2" xfId="1456" xr:uid="{00000000-0005-0000-0000-000049050000}"/>
    <cellStyle name="20% - 강조색1 14 3" xfId="1457" xr:uid="{00000000-0005-0000-0000-00004A050000}"/>
    <cellStyle name="20% - 강조색1 14 4" xfId="1458" xr:uid="{00000000-0005-0000-0000-00004B050000}"/>
    <cellStyle name="20% - 강조색1 15" xfId="1459" xr:uid="{00000000-0005-0000-0000-00004C050000}"/>
    <cellStyle name="20% - 강조색1 15 2" xfId="1460" xr:uid="{00000000-0005-0000-0000-00004D050000}"/>
    <cellStyle name="20% - 강조색1 15 3" xfId="1461" xr:uid="{00000000-0005-0000-0000-00004E050000}"/>
    <cellStyle name="20% - 강조색1 15 4" xfId="1462" xr:uid="{00000000-0005-0000-0000-00004F050000}"/>
    <cellStyle name="20% - 강조색1 16" xfId="1463" xr:uid="{00000000-0005-0000-0000-000050050000}"/>
    <cellStyle name="20% - 강조색1 17" xfId="1464" xr:uid="{00000000-0005-0000-0000-000051050000}"/>
    <cellStyle name="20% - 강조색1 18" xfId="1465" xr:uid="{00000000-0005-0000-0000-000052050000}"/>
    <cellStyle name="20% - 강조색1 19" xfId="1466" xr:uid="{00000000-0005-0000-0000-000053050000}"/>
    <cellStyle name="20% - 강조색1 2" xfId="1467" xr:uid="{00000000-0005-0000-0000-000054050000}"/>
    <cellStyle name="20% - 강조색1 3" xfId="1468" xr:uid="{00000000-0005-0000-0000-000055050000}"/>
    <cellStyle name="20% - 강조색1 4" xfId="1469" xr:uid="{00000000-0005-0000-0000-000056050000}"/>
    <cellStyle name="20% - 강조색1 5" xfId="1470" xr:uid="{00000000-0005-0000-0000-000057050000}"/>
    <cellStyle name="20% - 강조색1 6" xfId="1471" xr:uid="{00000000-0005-0000-0000-000058050000}"/>
    <cellStyle name="20% - 강조색1 6 2" xfId="1472" xr:uid="{00000000-0005-0000-0000-000059050000}"/>
    <cellStyle name="20% - 강조색1 6 3" xfId="1473" xr:uid="{00000000-0005-0000-0000-00005A050000}"/>
    <cellStyle name="20% - 강조색1 6 4" xfId="1474" xr:uid="{00000000-0005-0000-0000-00005B050000}"/>
    <cellStyle name="20% - 강조색1 7" xfId="1475" xr:uid="{00000000-0005-0000-0000-00005C050000}"/>
    <cellStyle name="20% - 강조색1 7 2" xfId="1476" xr:uid="{00000000-0005-0000-0000-00005D050000}"/>
    <cellStyle name="20% - 강조색1 7 3" xfId="1477" xr:uid="{00000000-0005-0000-0000-00005E050000}"/>
    <cellStyle name="20% - 강조색1 7 4" xfId="1478" xr:uid="{00000000-0005-0000-0000-00005F050000}"/>
    <cellStyle name="20% - 강조색1 8" xfId="1479" xr:uid="{00000000-0005-0000-0000-000060050000}"/>
    <cellStyle name="20% - 강조색1 8 2" xfId="1480" xr:uid="{00000000-0005-0000-0000-000061050000}"/>
    <cellStyle name="20% - 강조색1 8 3" xfId="1481" xr:uid="{00000000-0005-0000-0000-000062050000}"/>
    <cellStyle name="20% - 강조색1 8 4" xfId="1482" xr:uid="{00000000-0005-0000-0000-000063050000}"/>
    <cellStyle name="20% - 강조색1 9" xfId="1483" xr:uid="{00000000-0005-0000-0000-000064050000}"/>
    <cellStyle name="20% - 강조색1 9 2" xfId="1484" xr:uid="{00000000-0005-0000-0000-000065050000}"/>
    <cellStyle name="20% - 강조색1 9 3" xfId="1485" xr:uid="{00000000-0005-0000-0000-000066050000}"/>
    <cellStyle name="20% - 강조색1 9 4" xfId="1486" xr:uid="{00000000-0005-0000-0000-000067050000}"/>
    <cellStyle name="20% - 강조색2 10" xfId="1487" xr:uid="{00000000-0005-0000-0000-000068050000}"/>
    <cellStyle name="20% - 강조색2 10 2" xfId="1488" xr:uid="{00000000-0005-0000-0000-000069050000}"/>
    <cellStyle name="20% - 강조색2 10 3" xfId="1489" xr:uid="{00000000-0005-0000-0000-00006A050000}"/>
    <cellStyle name="20% - 강조색2 10 4" xfId="1490" xr:uid="{00000000-0005-0000-0000-00006B050000}"/>
    <cellStyle name="20% - 강조색2 11" xfId="1491" xr:uid="{00000000-0005-0000-0000-00006C050000}"/>
    <cellStyle name="20% - 강조색2 11 2" xfId="1492" xr:uid="{00000000-0005-0000-0000-00006D050000}"/>
    <cellStyle name="20% - 강조색2 11 3" xfId="1493" xr:uid="{00000000-0005-0000-0000-00006E050000}"/>
    <cellStyle name="20% - 강조색2 11 4" xfId="1494" xr:uid="{00000000-0005-0000-0000-00006F050000}"/>
    <cellStyle name="20% - 강조색2 12" xfId="1495" xr:uid="{00000000-0005-0000-0000-000070050000}"/>
    <cellStyle name="20% - 강조색2 12 2" xfId="1496" xr:uid="{00000000-0005-0000-0000-000071050000}"/>
    <cellStyle name="20% - 강조색2 12 3" xfId="1497" xr:uid="{00000000-0005-0000-0000-000072050000}"/>
    <cellStyle name="20% - 강조색2 12 4" xfId="1498" xr:uid="{00000000-0005-0000-0000-000073050000}"/>
    <cellStyle name="20% - 강조색2 13" xfId="1499" xr:uid="{00000000-0005-0000-0000-000074050000}"/>
    <cellStyle name="20% - 강조색2 13 2" xfId="1500" xr:uid="{00000000-0005-0000-0000-000075050000}"/>
    <cellStyle name="20% - 강조색2 13 3" xfId="1501" xr:uid="{00000000-0005-0000-0000-000076050000}"/>
    <cellStyle name="20% - 강조색2 13 4" xfId="1502" xr:uid="{00000000-0005-0000-0000-000077050000}"/>
    <cellStyle name="20% - 강조색2 14" xfId="1503" xr:uid="{00000000-0005-0000-0000-000078050000}"/>
    <cellStyle name="20% - 강조색2 14 2" xfId="1504" xr:uid="{00000000-0005-0000-0000-000079050000}"/>
    <cellStyle name="20% - 강조색2 14 3" xfId="1505" xr:uid="{00000000-0005-0000-0000-00007A050000}"/>
    <cellStyle name="20% - 강조색2 14 4" xfId="1506" xr:uid="{00000000-0005-0000-0000-00007B050000}"/>
    <cellStyle name="20% - 강조색2 15" xfId="1507" xr:uid="{00000000-0005-0000-0000-00007C050000}"/>
    <cellStyle name="20% - 강조색2 15 2" xfId="1508" xr:uid="{00000000-0005-0000-0000-00007D050000}"/>
    <cellStyle name="20% - 강조색2 15 3" xfId="1509" xr:uid="{00000000-0005-0000-0000-00007E050000}"/>
    <cellStyle name="20% - 강조색2 15 4" xfId="1510" xr:uid="{00000000-0005-0000-0000-00007F050000}"/>
    <cellStyle name="20% - 강조색2 16" xfId="1511" xr:uid="{00000000-0005-0000-0000-000080050000}"/>
    <cellStyle name="20% - 강조색2 17" xfId="1512" xr:uid="{00000000-0005-0000-0000-000081050000}"/>
    <cellStyle name="20% - 강조색2 18" xfId="1513" xr:uid="{00000000-0005-0000-0000-000082050000}"/>
    <cellStyle name="20% - 강조색2 19" xfId="1514" xr:uid="{00000000-0005-0000-0000-000083050000}"/>
    <cellStyle name="20% - 강조색2 2" xfId="1515" xr:uid="{00000000-0005-0000-0000-000084050000}"/>
    <cellStyle name="20% - 강조색2 3" xfId="1516" xr:uid="{00000000-0005-0000-0000-000085050000}"/>
    <cellStyle name="20% - 강조색2 4" xfId="1517" xr:uid="{00000000-0005-0000-0000-000086050000}"/>
    <cellStyle name="20% - 강조색2 5" xfId="1518" xr:uid="{00000000-0005-0000-0000-000087050000}"/>
    <cellStyle name="20% - 강조색2 6" xfId="1519" xr:uid="{00000000-0005-0000-0000-000088050000}"/>
    <cellStyle name="20% - 강조색2 6 2" xfId="1520" xr:uid="{00000000-0005-0000-0000-000089050000}"/>
    <cellStyle name="20% - 강조색2 6 3" xfId="1521" xr:uid="{00000000-0005-0000-0000-00008A050000}"/>
    <cellStyle name="20% - 강조색2 6 4" xfId="1522" xr:uid="{00000000-0005-0000-0000-00008B050000}"/>
    <cellStyle name="20% - 강조색2 7" xfId="1523" xr:uid="{00000000-0005-0000-0000-00008C050000}"/>
    <cellStyle name="20% - 강조색2 7 2" xfId="1524" xr:uid="{00000000-0005-0000-0000-00008D050000}"/>
    <cellStyle name="20% - 강조색2 7 3" xfId="1525" xr:uid="{00000000-0005-0000-0000-00008E050000}"/>
    <cellStyle name="20% - 강조색2 7 4" xfId="1526" xr:uid="{00000000-0005-0000-0000-00008F050000}"/>
    <cellStyle name="20% - 강조색2 8" xfId="1527" xr:uid="{00000000-0005-0000-0000-000090050000}"/>
    <cellStyle name="20% - 강조색2 8 2" xfId="1528" xr:uid="{00000000-0005-0000-0000-000091050000}"/>
    <cellStyle name="20% - 강조색2 8 3" xfId="1529" xr:uid="{00000000-0005-0000-0000-000092050000}"/>
    <cellStyle name="20% - 강조색2 8 4" xfId="1530" xr:uid="{00000000-0005-0000-0000-000093050000}"/>
    <cellStyle name="20% - 강조색2 9" xfId="1531" xr:uid="{00000000-0005-0000-0000-000094050000}"/>
    <cellStyle name="20% - 강조색2 9 2" xfId="1532" xr:uid="{00000000-0005-0000-0000-000095050000}"/>
    <cellStyle name="20% - 강조색2 9 3" xfId="1533" xr:uid="{00000000-0005-0000-0000-000096050000}"/>
    <cellStyle name="20% - 강조색2 9 4" xfId="1534" xr:uid="{00000000-0005-0000-0000-000097050000}"/>
    <cellStyle name="20% - 강조색3 10" xfId="1535" xr:uid="{00000000-0005-0000-0000-000098050000}"/>
    <cellStyle name="20% - 강조색3 10 2" xfId="1536" xr:uid="{00000000-0005-0000-0000-000099050000}"/>
    <cellStyle name="20% - 강조색3 10 3" xfId="1537" xr:uid="{00000000-0005-0000-0000-00009A050000}"/>
    <cellStyle name="20% - 강조색3 10 4" xfId="1538" xr:uid="{00000000-0005-0000-0000-00009B050000}"/>
    <cellStyle name="20% - 강조색3 11" xfId="1539" xr:uid="{00000000-0005-0000-0000-00009C050000}"/>
    <cellStyle name="20% - 강조색3 11 2" xfId="1540" xr:uid="{00000000-0005-0000-0000-00009D050000}"/>
    <cellStyle name="20% - 강조색3 11 3" xfId="1541" xr:uid="{00000000-0005-0000-0000-00009E050000}"/>
    <cellStyle name="20% - 강조색3 11 4" xfId="1542" xr:uid="{00000000-0005-0000-0000-00009F050000}"/>
    <cellStyle name="20% - 강조색3 12" xfId="1543" xr:uid="{00000000-0005-0000-0000-0000A0050000}"/>
    <cellStyle name="20% - 강조색3 12 2" xfId="1544" xr:uid="{00000000-0005-0000-0000-0000A1050000}"/>
    <cellStyle name="20% - 강조색3 12 3" xfId="1545" xr:uid="{00000000-0005-0000-0000-0000A2050000}"/>
    <cellStyle name="20% - 강조색3 12 4" xfId="1546" xr:uid="{00000000-0005-0000-0000-0000A3050000}"/>
    <cellStyle name="20% - 강조색3 13" xfId="1547" xr:uid="{00000000-0005-0000-0000-0000A4050000}"/>
    <cellStyle name="20% - 강조색3 13 2" xfId="1548" xr:uid="{00000000-0005-0000-0000-0000A5050000}"/>
    <cellStyle name="20% - 강조색3 13 3" xfId="1549" xr:uid="{00000000-0005-0000-0000-0000A6050000}"/>
    <cellStyle name="20% - 강조색3 13 4" xfId="1550" xr:uid="{00000000-0005-0000-0000-0000A7050000}"/>
    <cellStyle name="20% - 강조색3 14" xfId="1551" xr:uid="{00000000-0005-0000-0000-0000A8050000}"/>
    <cellStyle name="20% - 강조색3 14 2" xfId="1552" xr:uid="{00000000-0005-0000-0000-0000A9050000}"/>
    <cellStyle name="20% - 강조색3 14 3" xfId="1553" xr:uid="{00000000-0005-0000-0000-0000AA050000}"/>
    <cellStyle name="20% - 강조색3 14 4" xfId="1554" xr:uid="{00000000-0005-0000-0000-0000AB050000}"/>
    <cellStyle name="20% - 강조색3 15" xfId="1555" xr:uid="{00000000-0005-0000-0000-0000AC050000}"/>
    <cellStyle name="20% - 강조색3 15 2" xfId="1556" xr:uid="{00000000-0005-0000-0000-0000AD050000}"/>
    <cellStyle name="20% - 강조색3 15 3" xfId="1557" xr:uid="{00000000-0005-0000-0000-0000AE050000}"/>
    <cellStyle name="20% - 강조색3 15 4" xfId="1558" xr:uid="{00000000-0005-0000-0000-0000AF050000}"/>
    <cellStyle name="20% - 강조색3 16" xfId="1559" xr:uid="{00000000-0005-0000-0000-0000B0050000}"/>
    <cellStyle name="20% - 강조색3 17" xfId="1560" xr:uid="{00000000-0005-0000-0000-0000B1050000}"/>
    <cellStyle name="20% - 강조색3 18" xfId="1561" xr:uid="{00000000-0005-0000-0000-0000B2050000}"/>
    <cellStyle name="20% - 강조색3 19" xfId="1562" xr:uid="{00000000-0005-0000-0000-0000B3050000}"/>
    <cellStyle name="20% - 강조색3 2" xfId="1563" xr:uid="{00000000-0005-0000-0000-0000B4050000}"/>
    <cellStyle name="20% - 강조색3 3" xfId="1564" xr:uid="{00000000-0005-0000-0000-0000B5050000}"/>
    <cellStyle name="20% - 강조색3 4" xfId="1565" xr:uid="{00000000-0005-0000-0000-0000B6050000}"/>
    <cellStyle name="20% - 강조색3 5" xfId="1566" xr:uid="{00000000-0005-0000-0000-0000B7050000}"/>
    <cellStyle name="20% - 강조색3 6" xfId="1567" xr:uid="{00000000-0005-0000-0000-0000B8050000}"/>
    <cellStyle name="20% - 강조색3 6 2" xfId="1568" xr:uid="{00000000-0005-0000-0000-0000B9050000}"/>
    <cellStyle name="20% - 강조색3 6 3" xfId="1569" xr:uid="{00000000-0005-0000-0000-0000BA050000}"/>
    <cellStyle name="20% - 강조색3 6 4" xfId="1570" xr:uid="{00000000-0005-0000-0000-0000BB050000}"/>
    <cellStyle name="20% - 강조색3 7" xfId="1571" xr:uid="{00000000-0005-0000-0000-0000BC050000}"/>
    <cellStyle name="20% - 강조색3 7 2" xfId="1572" xr:uid="{00000000-0005-0000-0000-0000BD050000}"/>
    <cellStyle name="20% - 강조색3 7 3" xfId="1573" xr:uid="{00000000-0005-0000-0000-0000BE050000}"/>
    <cellStyle name="20% - 강조색3 7 4" xfId="1574" xr:uid="{00000000-0005-0000-0000-0000BF050000}"/>
    <cellStyle name="20% - 강조색3 8" xfId="1575" xr:uid="{00000000-0005-0000-0000-0000C0050000}"/>
    <cellStyle name="20% - 강조색3 8 2" xfId="1576" xr:uid="{00000000-0005-0000-0000-0000C1050000}"/>
    <cellStyle name="20% - 강조색3 8 3" xfId="1577" xr:uid="{00000000-0005-0000-0000-0000C2050000}"/>
    <cellStyle name="20% - 강조색3 8 4" xfId="1578" xr:uid="{00000000-0005-0000-0000-0000C3050000}"/>
    <cellStyle name="20% - 강조색3 9" xfId="1579" xr:uid="{00000000-0005-0000-0000-0000C4050000}"/>
    <cellStyle name="20% - 강조색3 9 2" xfId="1580" xr:uid="{00000000-0005-0000-0000-0000C5050000}"/>
    <cellStyle name="20% - 강조색3 9 3" xfId="1581" xr:uid="{00000000-0005-0000-0000-0000C6050000}"/>
    <cellStyle name="20% - 강조색3 9 4" xfId="1582" xr:uid="{00000000-0005-0000-0000-0000C7050000}"/>
    <cellStyle name="20% - 강조색4 10" xfId="1583" xr:uid="{00000000-0005-0000-0000-0000C8050000}"/>
    <cellStyle name="20% - 강조색4 10 2" xfId="1584" xr:uid="{00000000-0005-0000-0000-0000C9050000}"/>
    <cellStyle name="20% - 강조색4 10 3" xfId="1585" xr:uid="{00000000-0005-0000-0000-0000CA050000}"/>
    <cellStyle name="20% - 강조색4 10 4" xfId="1586" xr:uid="{00000000-0005-0000-0000-0000CB050000}"/>
    <cellStyle name="20% - 강조색4 11" xfId="1587" xr:uid="{00000000-0005-0000-0000-0000CC050000}"/>
    <cellStyle name="20% - 강조색4 11 2" xfId="1588" xr:uid="{00000000-0005-0000-0000-0000CD050000}"/>
    <cellStyle name="20% - 강조색4 11 3" xfId="1589" xr:uid="{00000000-0005-0000-0000-0000CE050000}"/>
    <cellStyle name="20% - 강조색4 11 4" xfId="1590" xr:uid="{00000000-0005-0000-0000-0000CF050000}"/>
    <cellStyle name="20% - 강조색4 12" xfId="1591" xr:uid="{00000000-0005-0000-0000-0000D0050000}"/>
    <cellStyle name="20% - 강조색4 12 2" xfId="1592" xr:uid="{00000000-0005-0000-0000-0000D1050000}"/>
    <cellStyle name="20% - 강조색4 12 3" xfId="1593" xr:uid="{00000000-0005-0000-0000-0000D2050000}"/>
    <cellStyle name="20% - 강조색4 12 4" xfId="1594" xr:uid="{00000000-0005-0000-0000-0000D3050000}"/>
    <cellStyle name="20% - 강조색4 13" xfId="1595" xr:uid="{00000000-0005-0000-0000-0000D4050000}"/>
    <cellStyle name="20% - 강조색4 13 2" xfId="1596" xr:uid="{00000000-0005-0000-0000-0000D5050000}"/>
    <cellStyle name="20% - 강조색4 13 3" xfId="1597" xr:uid="{00000000-0005-0000-0000-0000D6050000}"/>
    <cellStyle name="20% - 강조색4 13 4" xfId="1598" xr:uid="{00000000-0005-0000-0000-0000D7050000}"/>
    <cellStyle name="20% - 강조색4 14" xfId="1599" xr:uid="{00000000-0005-0000-0000-0000D8050000}"/>
    <cellStyle name="20% - 강조색4 14 2" xfId="1600" xr:uid="{00000000-0005-0000-0000-0000D9050000}"/>
    <cellStyle name="20% - 강조색4 14 3" xfId="1601" xr:uid="{00000000-0005-0000-0000-0000DA050000}"/>
    <cellStyle name="20% - 강조색4 14 4" xfId="1602" xr:uid="{00000000-0005-0000-0000-0000DB050000}"/>
    <cellStyle name="20% - 강조색4 15" xfId="1603" xr:uid="{00000000-0005-0000-0000-0000DC050000}"/>
    <cellStyle name="20% - 강조색4 15 2" xfId="1604" xr:uid="{00000000-0005-0000-0000-0000DD050000}"/>
    <cellStyle name="20% - 강조색4 15 3" xfId="1605" xr:uid="{00000000-0005-0000-0000-0000DE050000}"/>
    <cellStyle name="20% - 강조색4 15 4" xfId="1606" xr:uid="{00000000-0005-0000-0000-0000DF050000}"/>
    <cellStyle name="20% - 강조색4 16" xfId="1607" xr:uid="{00000000-0005-0000-0000-0000E0050000}"/>
    <cellStyle name="20% - 강조색4 17" xfId="1608" xr:uid="{00000000-0005-0000-0000-0000E1050000}"/>
    <cellStyle name="20% - 강조색4 18" xfId="1609" xr:uid="{00000000-0005-0000-0000-0000E2050000}"/>
    <cellStyle name="20% - 강조색4 19" xfId="1610" xr:uid="{00000000-0005-0000-0000-0000E3050000}"/>
    <cellStyle name="20% - 강조색4 2" xfId="1611" xr:uid="{00000000-0005-0000-0000-0000E4050000}"/>
    <cellStyle name="20% - 강조색4 3" xfId="1612" xr:uid="{00000000-0005-0000-0000-0000E5050000}"/>
    <cellStyle name="20% - 강조색4 4" xfId="1613" xr:uid="{00000000-0005-0000-0000-0000E6050000}"/>
    <cellStyle name="20% - 강조색4 5" xfId="1614" xr:uid="{00000000-0005-0000-0000-0000E7050000}"/>
    <cellStyle name="20% - 강조색4 6" xfId="1615" xr:uid="{00000000-0005-0000-0000-0000E8050000}"/>
    <cellStyle name="20% - 강조색4 6 2" xfId="1616" xr:uid="{00000000-0005-0000-0000-0000E9050000}"/>
    <cellStyle name="20% - 강조색4 6 3" xfId="1617" xr:uid="{00000000-0005-0000-0000-0000EA050000}"/>
    <cellStyle name="20% - 강조색4 6 4" xfId="1618" xr:uid="{00000000-0005-0000-0000-0000EB050000}"/>
    <cellStyle name="20% - 강조색4 7" xfId="1619" xr:uid="{00000000-0005-0000-0000-0000EC050000}"/>
    <cellStyle name="20% - 강조색4 7 2" xfId="1620" xr:uid="{00000000-0005-0000-0000-0000ED050000}"/>
    <cellStyle name="20% - 강조색4 7 3" xfId="1621" xr:uid="{00000000-0005-0000-0000-0000EE050000}"/>
    <cellStyle name="20% - 강조색4 7 4" xfId="1622" xr:uid="{00000000-0005-0000-0000-0000EF050000}"/>
    <cellStyle name="20% - 강조색4 8" xfId="1623" xr:uid="{00000000-0005-0000-0000-0000F0050000}"/>
    <cellStyle name="20% - 강조색4 8 2" xfId="1624" xr:uid="{00000000-0005-0000-0000-0000F1050000}"/>
    <cellStyle name="20% - 강조색4 8 3" xfId="1625" xr:uid="{00000000-0005-0000-0000-0000F2050000}"/>
    <cellStyle name="20% - 강조색4 8 4" xfId="1626" xr:uid="{00000000-0005-0000-0000-0000F3050000}"/>
    <cellStyle name="20% - 강조색4 9" xfId="1627" xr:uid="{00000000-0005-0000-0000-0000F4050000}"/>
    <cellStyle name="20% - 강조색4 9 2" xfId="1628" xr:uid="{00000000-0005-0000-0000-0000F5050000}"/>
    <cellStyle name="20% - 강조색4 9 3" xfId="1629" xr:uid="{00000000-0005-0000-0000-0000F6050000}"/>
    <cellStyle name="20% - 강조색4 9 4" xfId="1630" xr:uid="{00000000-0005-0000-0000-0000F7050000}"/>
    <cellStyle name="20% - 강조색5 10" xfId="1631" xr:uid="{00000000-0005-0000-0000-0000F8050000}"/>
    <cellStyle name="20% - 강조색5 10 2" xfId="1632" xr:uid="{00000000-0005-0000-0000-0000F9050000}"/>
    <cellStyle name="20% - 강조색5 10 3" xfId="1633" xr:uid="{00000000-0005-0000-0000-0000FA050000}"/>
    <cellStyle name="20% - 강조색5 10 4" xfId="1634" xr:uid="{00000000-0005-0000-0000-0000FB050000}"/>
    <cellStyle name="20% - 강조색5 11" xfId="1635" xr:uid="{00000000-0005-0000-0000-0000FC050000}"/>
    <cellStyle name="20% - 강조색5 11 2" xfId="1636" xr:uid="{00000000-0005-0000-0000-0000FD050000}"/>
    <cellStyle name="20% - 강조색5 11 3" xfId="1637" xr:uid="{00000000-0005-0000-0000-0000FE050000}"/>
    <cellStyle name="20% - 강조색5 11 4" xfId="1638" xr:uid="{00000000-0005-0000-0000-0000FF050000}"/>
    <cellStyle name="20% - 강조색5 12" xfId="1639" xr:uid="{00000000-0005-0000-0000-000000060000}"/>
    <cellStyle name="20% - 강조색5 12 2" xfId="1640" xr:uid="{00000000-0005-0000-0000-000001060000}"/>
    <cellStyle name="20% - 강조색5 12 3" xfId="1641" xr:uid="{00000000-0005-0000-0000-000002060000}"/>
    <cellStyle name="20% - 강조색5 12 4" xfId="1642" xr:uid="{00000000-0005-0000-0000-000003060000}"/>
    <cellStyle name="20% - 강조색5 13" xfId="1643" xr:uid="{00000000-0005-0000-0000-000004060000}"/>
    <cellStyle name="20% - 강조색5 13 2" xfId="1644" xr:uid="{00000000-0005-0000-0000-000005060000}"/>
    <cellStyle name="20% - 강조색5 13 3" xfId="1645" xr:uid="{00000000-0005-0000-0000-000006060000}"/>
    <cellStyle name="20% - 강조색5 13 4" xfId="1646" xr:uid="{00000000-0005-0000-0000-000007060000}"/>
    <cellStyle name="20% - 강조색5 14" xfId="1647" xr:uid="{00000000-0005-0000-0000-000008060000}"/>
    <cellStyle name="20% - 강조색5 14 2" xfId="1648" xr:uid="{00000000-0005-0000-0000-000009060000}"/>
    <cellStyle name="20% - 강조색5 14 3" xfId="1649" xr:uid="{00000000-0005-0000-0000-00000A060000}"/>
    <cellStyle name="20% - 강조색5 14 4" xfId="1650" xr:uid="{00000000-0005-0000-0000-00000B060000}"/>
    <cellStyle name="20% - 강조색5 15" xfId="1651" xr:uid="{00000000-0005-0000-0000-00000C060000}"/>
    <cellStyle name="20% - 강조색5 15 2" xfId="1652" xr:uid="{00000000-0005-0000-0000-00000D060000}"/>
    <cellStyle name="20% - 강조색5 15 3" xfId="1653" xr:uid="{00000000-0005-0000-0000-00000E060000}"/>
    <cellStyle name="20% - 강조색5 15 4" xfId="1654" xr:uid="{00000000-0005-0000-0000-00000F060000}"/>
    <cellStyle name="20% - 강조색5 16" xfId="1655" xr:uid="{00000000-0005-0000-0000-000010060000}"/>
    <cellStyle name="20% - 강조색5 17" xfId="1656" xr:uid="{00000000-0005-0000-0000-000011060000}"/>
    <cellStyle name="20% - 강조색5 18" xfId="1657" xr:uid="{00000000-0005-0000-0000-000012060000}"/>
    <cellStyle name="20% - 강조색5 19" xfId="1658" xr:uid="{00000000-0005-0000-0000-000013060000}"/>
    <cellStyle name="20% - 강조색5 2" xfId="1659" xr:uid="{00000000-0005-0000-0000-000014060000}"/>
    <cellStyle name="20% - 강조색5 3" xfId="1660" xr:uid="{00000000-0005-0000-0000-000015060000}"/>
    <cellStyle name="20% - 강조색5 4" xfId="1661" xr:uid="{00000000-0005-0000-0000-000016060000}"/>
    <cellStyle name="20% - 강조색5 5" xfId="1662" xr:uid="{00000000-0005-0000-0000-000017060000}"/>
    <cellStyle name="20% - 강조색5 6" xfId="1663" xr:uid="{00000000-0005-0000-0000-000018060000}"/>
    <cellStyle name="20% - 강조색5 6 2" xfId="1664" xr:uid="{00000000-0005-0000-0000-000019060000}"/>
    <cellStyle name="20% - 강조색5 6 3" xfId="1665" xr:uid="{00000000-0005-0000-0000-00001A060000}"/>
    <cellStyle name="20% - 강조색5 6 4" xfId="1666" xr:uid="{00000000-0005-0000-0000-00001B060000}"/>
    <cellStyle name="20% - 강조색5 7" xfId="1667" xr:uid="{00000000-0005-0000-0000-00001C060000}"/>
    <cellStyle name="20% - 강조색5 7 2" xfId="1668" xr:uid="{00000000-0005-0000-0000-00001D060000}"/>
    <cellStyle name="20% - 강조색5 7 3" xfId="1669" xr:uid="{00000000-0005-0000-0000-00001E060000}"/>
    <cellStyle name="20% - 강조색5 7 4" xfId="1670" xr:uid="{00000000-0005-0000-0000-00001F060000}"/>
    <cellStyle name="20% - 강조색5 8" xfId="1671" xr:uid="{00000000-0005-0000-0000-000020060000}"/>
    <cellStyle name="20% - 강조색5 8 2" xfId="1672" xr:uid="{00000000-0005-0000-0000-000021060000}"/>
    <cellStyle name="20% - 강조색5 8 3" xfId="1673" xr:uid="{00000000-0005-0000-0000-000022060000}"/>
    <cellStyle name="20% - 강조색5 8 4" xfId="1674" xr:uid="{00000000-0005-0000-0000-000023060000}"/>
    <cellStyle name="20% - 강조색5 9" xfId="1675" xr:uid="{00000000-0005-0000-0000-000024060000}"/>
    <cellStyle name="20% - 강조색5 9 2" xfId="1676" xr:uid="{00000000-0005-0000-0000-000025060000}"/>
    <cellStyle name="20% - 강조색5 9 3" xfId="1677" xr:uid="{00000000-0005-0000-0000-000026060000}"/>
    <cellStyle name="20% - 강조색5 9 4" xfId="1678" xr:uid="{00000000-0005-0000-0000-000027060000}"/>
    <cellStyle name="20% - 강조색6 10" xfId="1679" xr:uid="{00000000-0005-0000-0000-000028060000}"/>
    <cellStyle name="20% - 강조색6 10 2" xfId="1680" xr:uid="{00000000-0005-0000-0000-000029060000}"/>
    <cellStyle name="20% - 강조색6 10 3" xfId="1681" xr:uid="{00000000-0005-0000-0000-00002A060000}"/>
    <cellStyle name="20% - 강조색6 10 4" xfId="1682" xr:uid="{00000000-0005-0000-0000-00002B060000}"/>
    <cellStyle name="20% - 강조색6 11" xfId="1683" xr:uid="{00000000-0005-0000-0000-00002C060000}"/>
    <cellStyle name="20% - 강조색6 11 2" xfId="1684" xr:uid="{00000000-0005-0000-0000-00002D060000}"/>
    <cellStyle name="20% - 강조색6 11 3" xfId="1685" xr:uid="{00000000-0005-0000-0000-00002E060000}"/>
    <cellStyle name="20% - 강조색6 11 4" xfId="1686" xr:uid="{00000000-0005-0000-0000-00002F060000}"/>
    <cellStyle name="20% - 강조색6 12" xfId="1687" xr:uid="{00000000-0005-0000-0000-000030060000}"/>
    <cellStyle name="20% - 강조색6 12 2" xfId="1688" xr:uid="{00000000-0005-0000-0000-000031060000}"/>
    <cellStyle name="20% - 강조색6 12 3" xfId="1689" xr:uid="{00000000-0005-0000-0000-000032060000}"/>
    <cellStyle name="20% - 강조색6 12 4" xfId="1690" xr:uid="{00000000-0005-0000-0000-000033060000}"/>
    <cellStyle name="20% - 강조색6 13" xfId="1691" xr:uid="{00000000-0005-0000-0000-000034060000}"/>
    <cellStyle name="20% - 강조색6 13 2" xfId="1692" xr:uid="{00000000-0005-0000-0000-000035060000}"/>
    <cellStyle name="20% - 강조색6 13 3" xfId="1693" xr:uid="{00000000-0005-0000-0000-000036060000}"/>
    <cellStyle name="20% - 강조색6 13 4" xfId="1694" xr:uid="{00000000-0005-0000-0000-000037060000}"/>
    <cellStyle name="20% - 강조색6 14" xfId="1695" xr:uid="{00000000-0005-0000-0000-000038060000}"/>
    <cellStyle name="20% - 강조색6 14 2" xfId="1696" xr:uid="{00000000-0005-0000-0000-000039060000}"/>
    <cellStyle name="20% - 강조색6 14 3" xfId="1697" xr:uid="{00000000-0005-0000-0000-00003A060000}"/>
    <cellStyle name="20% - 강조색6 14 4" xfId="1698" xr:uid="{00000000-0005-0000-0000-00003B060000}"/>
    <cellStyle name="20% - 강조색6 15" xfId="1699" xr:uid="{00000000-0005-0000-0000-00003C060000}"/>
    <cellStyle name="20% - 강조색6 15 2" xfId="1700" xr:uid="{00000000-0005-0000-0000-00003D060000}"/>
    <cellStyle name="20% - 강조색6 15 3" xfId="1701" xr:uid="{00000000-0005-0000-0000-00003E060000}"/>
    <cellStyle name="20% - 강조색6 15 4" xfId="1702" xr:uid="{00000000-0005-0000-0000-00003F060000}"/>
    <cellStyle name="20% - 강조색6 16" xfId="1703" xr:uid="{00000000-0005-0000-0000-000040060000}"/>
    <cellStyle name="20% - 강조색6 17" xfId="1704" xr:uid="{00000000-0005-0000-0000-000041060000}"/>
    <cellStyle name="20% - 강조색6 18" xfId="1705" xr:uid="{00000000-0005-0000-0000-000042060000}"/>
    <cellStyle name="20% - 강조색6 19" xfId="1706" xr:uid="{00000000-0005-0000-0000-000043060000}"/>
    <cellStyle name="20% - 강조색6 2" xfId="1707" xr:uid="{00000000-0005-0000-0000-000044060000}"/>
    <cellStyle name="20% - 강조색6 3" xfId="1708" xr:uid="{00000000-0005-0000-0000-000045060000}"/>
    <cellStyle name="20% - 강조색6 4" xfId="1709" xr:uid="{00000000-0005-0000-0000-000046060000}"/>
    <cellStyle name="20% - 강조색6 5" xfId="1710" xr:uid="{00000000-0005-0000-0000-000047060000}"/>
    <cellStyle name="20% - 강조색6 6" xfId="1711" xr:uid="{00000000-0005-0000-0000-000048060000}"/>
    <cellStyle name="20% - 강조색6 6 2" xfId="1712" xr:uid="{00000000-0005-0000-0000-000049060000}"/>
    <cellStyle name="20% - 강조색6 6 3" xfId="1713" xr:uid="{00000000-0005-0000-0000-00004A060000}"/>
    <cellStyle name="20% - 강조색6 6 4" xfId="1714" xr:uid="{00000000-0005-0000-0000-00004B060000}"/>
    <cellStyle name="20% - 강조색6 7" xfId="1715" xr:uid="{00000000-0005-0000-0000-00004C060000}"/>
    <cellStyle name="20% - 강조색6 7 2" xfId="1716" xr:uid="{00000000-0005-0000-0000-00004D060000}"/>
    <cellStyle name="20% - 강조색6 7 3" xfId="1717" xr:uid="{00000000-0005-0000-0000-00004E060000}"/>
    <cellStyle name="20% - 강조색6 7 4" xfId="1718" xr:uid="{00000000-0005-0000-0000-00004F060000}"/>
    <cellStyle name="20% - 강조색6 8" xfId="1719" xr:uid="{00000000-0005-0000-0000-000050060000}"/>
    <cellStyle name="20% - 강조색6 8 2" xfId="1720" xr:uid="{00000000-0005-0000-0000-000051060000}"/>
    <cellStyle name="20% - 강조색6 8 3" xfId="1721" xr:uid="{00000000-0005-0000-0000-000052060000}"/>
    <cellStyle name="20% - 강조색6 8 4" xfId="1722" xr:uid="{00000000-0005-0000-0000-000053060000}"/>
    <cellStyle name="20% - 강조색6 9" xfId="1723" xr:uid="{00000000-0005-0000-0000-000054060000}"/>
    <cellStyle name="20% - 강조색6 9 2" xfId="1724" xr:uid="{00000000-0005-0000-0000-000055060000}"/>
    <cellStyle name="20% - 강조색6 9 3" xfId="1725" xr:uid="{00000000-0005-0000-0000-000056060000}"/>
    <cellStyle name="20% - 강조색6 9 4" xfId="1726" xr:uid="{00000000-0005-0000-0000-000057060000}"/>
    <cellStyle name="40% - 강조색1 10" xfId="1727" xr:uid="{00000000-0005-0000-0000-000058060000}"/>
    <cellStyle name="40% - 강조색1 10 2" xfId="1728" xr:uid="{00000000-0005-0000-0000-000059060000}"/>
    <cellStyle name="40% - 강조색1 10 3" xfId="1729" xr:uid="{00000000-0005-0000-0000-00005A060000}"/>
    <cellStyle name="40% - 강조색1 10 4" xfId="1730" xr:uid="{00000000-0005-0000-0000-00005B060000}"/>
    <cellStyle name="40% - 강조색1 11" xfId="1731" xr:uid="{00000000-0005-0000-0000-00005C060000}"/>
    <cellStyle name="40% - 강조색1 11 2" xfId="1732" xr:uid="{00000000-0005-0000-0000-00005D060000}"/>
    <cellStyle name="40% - 강조색1 11 3" xfId="1733" xr:uid="{00000000-0005-0000-0000-00005E060000}"/>
    <cellStyle name="40% - 강조색1 11 4" xfId="1734" xr:uid="{00000000-0005-0000-0000-00005F060000}"/>
    <cellStyle name="40% - 강조색1 12" xfId="1735" xr:uid="{00000000-0005-0000-0000-000060060000}"/>
    <cellStyle name="40% - 강조색1 12 2" xfId="1736" xr:uid="{00000000-0005-0000-0000-000061060000}"/>
    <cellStyle name="40% - 강조색1 12 3" xfId="1737" xr:uid="{00000000-0005-0000-0000-000062060000}"/>
    <cellStyle name="40% - 강조색1 12 4" xfId="1738" xr:uid="{00000000-0005-0000-0000-000063060000}"/>
    <cellStyle name="40% - 강조색1 13" xfId="1739" xr:uid="{00000000-0005-0000-0000-000064060000}"/>
    <cellStyle name="40% - 강조색1 13 2" xfId="1740" xr:uid="{00000000-0005-0000-0000-000065060000}"/>
    <cellStyle name="40% - 강조색1 13 3" xfId="1741" xr:uid="{00000000-0005-0000-0000-000066060000}"/>
    <cellStyle name="40% - 강조색1 13 4" xfId="1742" xr:uid="{00000000-0005-0000-0000-000067060000}"/>
    <cellStyle name="40% - 강조색1 14" xfId="1743" xr:uid="{00000000-0005-0000-0000-000068060000}"/>
    <cellStyle name="40% - 강조색1 14 2" xfId="1744" xr:uid="{00000000-0005-0000-0000-000069060000}"/>
    <cellStyle name="40% - 강조색1 14 3" xfId="1745" xr:uid="{00000000-0005-0000-0000-00006A060000}"/>
    <cellStyle name="40% - 강조색1 14 4" xfId="1746" xr:uid="{00000000-0005-0000-0000-00006B060000}"/>
    <cellStyle name="40% - 강조색1 15" xfId="1747" xr:uid="{00000000-0005-0000-0000-00006C060000}"/>
    <cellStyle name="40% - 강조색1 15 2" xfId="1748" xr:uid="{00000000-0005-0000-0000-00006D060000}"/>
    <cellStyle name="40% - 강조색1 15 3" xfId="1749" xr:uid="{00000000-0005-0000-0000-00006E060000}"/>
    <cellStyle name="40% - 강조색1 15 4" xfId="1750" xr:uid="{00000000-0005-0000-0000-00006F060000}"/>
    <cellStyle name="40% - 강조색1 16" xfId="1751" xr:uid="{00000000-0005-0000-0000-000070060000}"/>
    <cellStyle name="40% - 강조색1 17" xfId="1752" xr:uid="{00000000-0005-0000-0000-000071060000}"/>
    <cellStyle name="40% - 강조색1 18" xfId="1753" xr:uid="{00000000-0005-0000-0000-000072060000}"/>
    <cellStyle name="40% - 강조색1 19" xfId="1754" xr:uid="{00000000-0005-0000-0000-000073060000}"/>
    <cellStyle name="40% - 강조색1 2" xfId="1755" xr:uid="{00000000-0005-0000-0000-000074060000}"/>
    <cellStyle name="40% - 강조색1 3" xfId="1756" xr:uid="{00000000-0005-0000-0000-000075060000}"/>
    <cellStyle name="40% - 강조색1 4" xfId="1757" xr:uid="{00000000-0005-0000-0000-000076060000}"/>
    <cellStyle name="40% - 강조색1 5" xfId="1758" xr:uid="{00000000-0005-0000-0000-000077060000}"/>
    <cellStyle name="40% - 강조색1 6" xfId="1759" xr:uid="{00000000-0005-0000-0000-000078060000}"/>
    <cellStyle name="40% - 강조색1 6 2" xfId="1760" xr:uid="{00000000-0005-0000-0000-000079060000}"/>
    <cellStyle name="40% - 강조색1 6 3" xfId="1761" xr:uid="{00000000-0005-0000-0000-00007A060000}"/>
    <cellStyle name="40% - 강조색1 6 4" xfId="1762" xr:uid="{00000000-0005-0000-0000-00007B060000}"/>
    <cellStyle name="40% - 강조색1 7" xfId="1763" xr:uid="{00000000-0005-0000-0000-00007C060000}"/>
    <cellStyle name="40% - 강조색1 7 2" xfId="1764" xr:uid="{00000000-0005-0000-0000-00007D060000}"/>
    <cellStyle name="40% - 강조색1 7 3" xfId="1765" xr:uid="{00000000-0005-0000-0000-00007E060000}"/>
    <cellStyle name="40% - 강조색1 7 4" xfId="1766" xr:uid="{00000000-0005-0000-0000-00007F060000}"/>
    <cellStyle name="40% - 강조색1 8" xfId="1767" xr:uid="{00000000-0005-0000-0000-000080060000}"/>
    <cellStyle name="40% - 강조색1 8 2" xfId="1768" xr:uid="{00000000-0005-0000-0000-000081060000}"/>
    <cellStyle name="40% - 강조색1 8 3" xfId="1769" xr:uid="{00000000-0005-0000-0000-000082060000}"/>
    <cellStyle name="40% - 강조색1 8 4" xfId="1770" xr:uid="{00000000-0005-0000-0000-000083060000}"/>
    <cellStyle name="40% - 강조색1 9" xfId="1771" xr:uid="{00000000-0005-0000-0000-000084060000}"/>
    <cellStyle name="40% - 강조색1 9 2" xfId="1772" xr:uid="{00000000-0005-0000-0000-000085060000}"/>
    <cellStyle name="40% - 강조색1 9 3" xfId="1773" xr:uid="{00000000-0005-0000-0000-000086060000}"/>
    <cellStyle name="40% - 강조색1 9 4" xfId="1774" xr:uid="{00000000-0005-0000-0000-000087060000}"/>
    <cellStyle name="40% - 강조색2 10" xfId="1775" xr:uid="{00000000-0005-0000-0000-000088060000}"/>
    <cellStyle name="40% - 강조색2 10 2" xfId="1776" xr:uid="{00000000-0005-0000-0000-000089060000}"/>
    <cellStyle name="40% - 강조색2 10 3" xfId="1777" xr:uid="{00000000-0005-0000-0000-00008A060000}"/>
    <cellStyle name="40% - 강조색2 10 4" xfId="1778" xr:uid="{00000000-0005-0000-0000-00008B060000}"/>
    <cellStyle name="40% - 강조색2 11" xfId="1779" xr:uid="{00000000-0005-0000-0000-00008C060000}"/>
    <cellStyle name="40% - 강조색2 11 2" xfId="1780" xr:uid="{00000000-0005-0000-0000-00008D060000}"/>
    <cellStyle name="40% - 강조색2 11 3" xfId="1781" xr:uid="{00000000-0005-0000-0000-00008E060000}"/>
    <cellStyle name="40% - 강조색2 11 4" xfId="1782" xr:uid="{00000000-0005-0000-0000-00008F060000}"/>
    <cellStyle name="40% - 강조색2 12" xfId="1783" xr:uid="{00000000-0005-0000-0000-000090060000}"/>
    <cellStyle name="40% - 강조색2 12 2" xfId="1784" xr:uid="{00000000-0005-0000-0000-000091060000}"/>
    <cellStyle name="40% - 강조색2 12 3" xfId="1785" xr:uid="{00000000-0005-0000-0000-000092060000}"/>
    <cellStyle name="40% - 강조색2 12 4" xfId="1786" xr:uid="{00000000-0005-0000-0000-000093060000}"/>
    <cellStyle name="40% - 강조색2 13" xfId="1787" xr:uid="{00000000-0005-0000-0000-000094060000}"/>
    <cellStyle name="40% - 강조색2 13 2" xfId="1788" xr:uid="{00000000-0005-0000-0000-000095060000}"/>
    <cellStyle name="40% - 강조색2 13 3" xfId="1789" xr:uid="{00000000-0005-0000-0000-000096060000}"/>
    <cellStyle name="40% - 강조색2 13 4" xfId="1790" xr:uid="{00000000-0005-0000-0000-000097060000}"/>
    <cellStyle name="40% - 강조색2 14" xfId="1791" xr:uid="{00000000-0005-0000-0000-000098060000}"/>
    <cellStyle name="40% - 강조색2 14 2" xfId="1792" xr:uid="{00000000-0005-0000-0000-000099060000}"/>
    <cellStyle name="40% - 강조색2 14 3" xfId="1793" xr:uid="{00000000-0005-0000-0000-00009A060000}"/>
    <cellStyle name="40% - 강조색2 14 4" xfId="1794" xr:uid="{00000000-0005-0000-0000-00009B060000}"/>
    <cellStyle name="40% - 강조색2 15" xfId="1795" xr:uid="{00000000-0005-0000-0000-00009C060000}"/>
    <cellStyle name="40% - 강조색2 15 2" xfId="1796" xr:uid="{00000000-0005-0000-0000-00009D060000}"/>
    <cellStyle name="40% - 강조색2 15 3" xfId="1797" xr:uid="{00000000-0005-0000-0000-00009E060000}"/>
    <cellStyle name="40% - 강조색2 15 4" xfId="1798" xr:uid="{00000000-0005-0000-0000-00009F060000}"/>
    <cellStyle name="40% - 강조색2 16" xfId="1799" xr:uid="{00000000-0005-0000-0000-0000A0060000}"/>
    <cellStyle name="40% - 강조색2 17" xfId="1800" xr:uid="{00000000-0005-0000-0000-0000A1060000}"/>
    <cellStyle name="40% - 강조색2 18" xfId="1801" xr:uid="{00000000-0005-0000-0000-0000A2060000}"/>
    <cellStyle name="40% - 강조색2 19" xfId="1802" xr:uid="{00000000-0005-0000-0000-0000A3060000}"/>
    <cellStyle name="40% - 강조색2 2" xfId="1803" xr:uid="{00000000-0005-0000-0000-0000A4060000}"/>
    <cellStyle name="40% - 강조색2 3" xfId="1804" xr:uid="{00000000-0005-0000-0000-0000A5060000}"/>
    <cellStyle name="40% - 강조색2 4" xfId="1805" xr:uid="{00000000-0005-0000-0000-0000A6060000}"/>
    <cellStyle name="40% - 강조색2 5" xfId="1806" xr:uid="{00000000-0005-0000-0000-0000A7060000}"/>
    <cellStyle name="40% - 강조색2 6" xfId="1807" xr:uid="{00000000-0005-0000-0000-0000A8060000}"/>
    <cellStyle name="40% - 강조색2 6 2" xfId="1808" xr:uid="{00000000-0005-0000-0000-0000A9060000}"/>
    <cellStyle name="40% - 강조색2 6 3" xfId="1809" xr:uid="{00000000-0005-0000-0000-0000AA060000}"/>
    <cellStyle name="40% - 강조색2 6 4" xfId="1810" xr:uid="{00000000-0005-0000-0000-0000AB060000}"/>
    <cellStyle name="40% - 강조색2 7" xfId="1811" xr:uid="{00000000-0005-0000-0000-0000AC060000}"/>
    <cellStyle name="40% - 강조색2 7 2" xfId="1812" xr:uid="{00000000-0005-0000-0000-0000AD060000}"/>
    <cellStyle name="40% - 강조색2 7 3" xfId="1813" xr:uid="{00000000-0005-0000-0000-0000AE060000}"/>
    <cellStyle name="40% - 강조색2 7 4" xfId="1814" xr:uid="{00000000-0005-0000-0000-0000AF060000}"/>
    <cellStyle name="40% - 강조색2 8" xfId="1815" xr:uid="{00000000-0005-0000-0000-0000B0060000}"/>
    <cellStyle name="40% - 강조색2 8 2" xfId="1816" xr:uid="{00000000-0005-0000-0000-0000B1060000}"/>
    <cellStyle name="40% - 강조색2 8 3" xfId="1817" xr:uid="{00000000-0005-0000-0000-0000B2060000}"/>
    <cellStyle name="40% - 강조색2 8 4" xfId="1818" xr:uid="{00000000-0005-0000-0000-0000B3060000}"/>
    <cellStyle name="40% - 강조색2 9" xfId="1819" xr:uid="{00000000-0005-0000-0000-0000B4060000}"/>
    <cellStyle name="40% - 강조색2 9 2" xfId="1820" xr:uid="{00000000-0005-0000-0000-0000B5060000}"/>
    <cellStyle name="40% - 강조색2 9 3" xfId="1821" xr:uid="{00000000-0005-0000-0000-0000B6060000}"/>
    <cellStyle name="40% - 강조색2 9 4" xfId="1822" xr:uid="{00000000-0005-0000-0000-0000B7060000}"/>
    <cellStyle name="40% - 강조색3 10" xfId="1823" xr:uid="{00000000-0005-0000-0000-0000B8060000}"/>
    <cellStyle name="40% - 강조색3 10 2" xfId="1824" xr:uid="{00000000-0005-0000-0000-0000B9060000}"/>
    <cellStyle name="40% - 강조색3 10 3" xfId="1825" xr:uid="{00000000-0005-0000-0000-0000BA060000}"/>
    <cellStyle name="40% - 강조색3 10 4" xfId="1826" xr:uid="{00000000-0005-0000-0000-0000BB060000}"/>
    <cellStyle name="40% - 강조색3 11" xfId="1827" xr:uid="{00000000-0005-0000-0000-0000BC060000}"/>
    <cellStyle name="40% - 강조색3 11 2" xfId="1828" xr:uid="{00000000-0005-0000-0000-0000BD060000}"/>
    <cellStyle name="40% - 강조색3 11 3" xfId="1829" xr:uid="{00000000-0005-0000-0000-0000BE060000}"/>
    <cellStyle name="40% - 강조색3 11 4" xfId="1830" xr:uid="{00000000-0005-0000-0000-0000BF060000}"/>
    <cellStyle name="40% - 강조색3 12" xfId="1831" xr:uid="{00000000-0005-0000-0000-0000C0060000}"/>
    <cellStyle name="40% - 강조색3 12 2" xfId="1832" xr:uid="{00000000-0005-0000-0000-0000C1060000}"/>
    <cellStyle name="40% - 강조색3 12 3" xfId="1833" xr:uid="{00000000-0005-0000-0000-0000C2060000}"/>
    <cellStyle name="40% - 강조색3 12 4" xfId="1834" xr:uid="{00000000-0005-0000-0000-0000C3060000}"/>
    <cellStyle name="40% - 강조색3 13" xfId="1835" xr:uid="{00000000-0005-0000-0000-0000C4060000}"/>
    <cellStyle name="40% - 강조색3 13 2" xfId="1836" xr:uid="{00000000-0005-0000-0000-0000C5060000}"/>
    <cellStyle name="40% - 강조색3 13 3" xfId="1837" xr:uid="{00000000-0005-0000-0000-0000C6060000}"/>
    <cellStyle name="40% - 강조색3 13 4" xfId="1838" xr:uid="{00000000-0005-0000-0000-0000C7060000}"/>
    <cellStyle name="40% - 강조색3 14" xfId="1839" xr:uid="{00000000-0005-0000-0000-0000C8060000}"/>
    <cellStyle name="40% - 강조색3 14 2" xfId="1840" xr:uid="{00000000-0005-0000-0000-0000C9060000}"/>
    <cellStyle name="40% - 강조색3 14 3" xfId="1841" xr:uid="{00000000-0005-0000-0000-0000CA060000}"/>
    <cellStyle name="40% - 강조색3 14 4" xfId="1842" xr:uid="{00000000-0005-0000-0000-0000CB060000}"/>
    <cellStyle name="40% - 강조색3 15" xfId="1843" xr:uid="{00000000-0005-0000-0000-0000CC060000}"/>
    <cellStyle name="40% - 강조색3 15 2" xfId="1844" xr:uid="{00000000-0005-0000-0000-0000CD060000}"/>
    <cellStyle name="40% - 강조색3 15 3" xfId="1845" xr:uid="{00000000-0005-0000-0000-0000CE060000}"/>
    <cellStyle name="40% - 강조색3 15 4" xfId="1846" xr:uid="{00000000-0005-0000-0000-0000CF060000}"/>
    <cellStyle name="40% - 강조색3 16" xfId="1847" xr:uid="{00000000-0005-0000-0000-0000D0060000}"/>
    <cellStyle name="40% - 강조색3 17" xfId="1848" xr:uid="{00000000-0005-0000-0000-0000D1060000}"/>
    <cellStyle name="40% - 강조색3 18" xfId="1849" xr:uid="{00000000-0005-0000-0000-0000D2060000}"/>
    <cellStyle name="40% - 강조색3 19" xfId="1850" xr:uid="{00000000-0005-0000-0000-0000D3060000}"/>
    <cellStyle name="40% - 강조색3 2" xfId="1851" xr:uid="{00000000-0005-0000-0000-0000D4060000}"/>
    <cellStyle name="40% - 강조색3 3" xfId="1852" xr:uid="{00000000-0005-0000-0000-0000D5060000}"/>
    <cellStyle name="40% - 강조색3 4" xfId="1853" xr:uid="{00000000-0005-0000-0000-0000D6060000}"/>
    <cellStyle name="40% - 강조색3 5" xfId="1854" xr:uid="{00000000-0005-0000-0000-0000D7060000}"/>
    <cellStyle name="40% - 강조색3 6" xfId="1855" xr:uid="{00000000-0005-0000-0000-0000D8060000}"/>
    <cellStyle name="40% - 강조색3 6 2" xfId="1856" xr:uid="{00000000-0005-0000-0000-0000D9060000}"/>
    <cellStyle name="40% - 강조색3 6 3" xfId="1857" xr:uid="{00000000-0005-0000-0000-0000DA060000}"/>
    <cellStyle name="40% - 강조색3 6 4" xfId="1858" xr:uid="{00000000-0005-0000-0000-0000DB060000}"/>
    <cellStyle name="40% - 강조색3 7" xfId="1859" xr:uid="{00000000-0005-0000-0000-0000DC060000}"/>
    <cellStyle name="40% - 강조색3 7 2" xfId="1860" xr:uid="{00000000-0005-0000-0000-0000DD060000}"/>
    <cellStyle name="40% - 강조색3 7 3" xfId="1861" xr:uid="{00000000-0005-0000-0000-0000DE060000}"/>
    <cellStyle name="40% - 강조색3 7 4" xfId="1862" xr:uid="{00000000-0005-0000-0000-0000DF060000}"/>
    <cellStyle name="40% - 강조색3 8" xfId="1863" xr:uid="{00000000-0005-0000-0000-0000E0060000}"/>
    <cellStyle name="40% - 강조색3 8 2" xfId="1864" xr:uid="{00000000-0005-0000-0000-0000E1060000}"/>
    <cellStyle name="40% - 강조색3 8 3" xfId="1865" xr:uid="{00000000-0005-0000-0000-0000E2060000}"/>
    <cellStyle name="40% - 강조색3 8 4" xfId="1866" xr:uid="{00000000-0005-0000-0000-0000E3060000}"/>
    <cellStyle name="40% - 강조색3 9" xfId="1867" xr:uid="{00000000-0005-0000-0000-0000E4060000}"/>
    <cellStyle name="40% - 강조색3 9 2" xfId="1868" xr:uid="{00000000-0005-0000-0000-0000E5060000}"/>
    <cellStyle name="40% - 강조색3 9 3" xfId="1869" xr:uid="{00000000-0005-0000-0000-0000E6060000}"/>
    <cellStyle name="40% - 강조색3 9 4" xfId="1870" xr:uid="{00000000-0005-0000-0000-0000E7060000}"/>
    <cellStyle name="40% - 강조색4 10" xfId="1871" xr:uid="{00000000-0005-0000-0000-0000E8060000}"/>
    <cellStyle name="40% - 강조색4 10 2" xfId="1872" xr:uid="{00000000-0005-0000-0000-0000E9060000}"/>
    <cellStyle name="40% - 강조색4 10 3" xfId="1873" xr:uid="{00000000-0005-0000-0000-0000EA060000}"/>
    <cellStyle name="40% - 강조색4 10 4" xfId="1874" xr:uid="{00000000-0005-0000-0000-0000EB060000}"/>
    <cellStyle name="40% - 강조색4 11" xfId="1875" xr:uid="{00000000-0005-0000-0000-0000EC060000}"/>
    <cellStyle name="40% - 강조색4 11 2" xfId="1876" xr:uid="{00000000-0005-0000-0000-0000ED060000}"/>
    <cellStyle name="40% - 강조색4 11 3" xfId="1877" xr:uid="{00000000-0005-0000-0000-0000EE060000}"/>
    <cellStyle name="40% - 강조색4 11 4" xfId="1878" xr:uid="{00000000-0005-0000-0000-0000EF060000}"/>
    <cellStyle name="40% - 강조색4 12" xfId="1879" xr:uid="{00000000-0005-0000-0000-0000F0060000}"/>
    <cellStyle name="40% - 강조색4 12 2" xfId="1880" xr:uid="{00000000-0005-0000-0000-0000F1060000}"/>
    <cellStyle name="40% - 강조색4 12 3" xfId="1881" xr:uid="{00000000-0005-0000-0000-0000F2060000}"/>
    <cellStyle name="40% - 강조색4 12 4" xfId="1882" xr:uid="{00000000-0005-0000-0000-0000F3060000}"/>
    <cellStyle name="40% - 강조색4 13" xfId="1883" xr:uid="{00000000-0005-0000-0000-0000F4060000}"/>
    <cellStyle name="40% - 강조색4 13 2" xfId="1884" xr:uid="{00000000-0005-0000-0000-0000F5060000}"/>
    <cellStyle name="40% - 강조색4 13 3" xfId="1885" xr:uid="{00000000-0005-0000-0000-0000F6060000}"/>
    <cellStyle name="40% - 강조색4 13 4" xfId="1886" xr:uid="{00000000-0005-0000-0000-0000F7060000}"/>
    <cellStyle name="40% - 강조색4 14" xfId="1887" xr:uid="{00000000-0005-0000-0000-0000F8060000}"/>
    <cellStyle name="40% - 강조색4 14 2" xfId="1888" xr:uid="{00000000-0005-0000-0000-0000F9060000}"/>
    <cellStyle name="40% - 강조색4 14 3" xfId="1889" xr:uid="{00000000-0005-0000-0000-0000FA060000}"/>
    <cellStyle name="40% - 강조색4 14 4" xfId="1890" xr:uid="{00000000-0005-0000-0000-0000FB060000}"/>
    <cellStyle name="40% - 강조색4 15" xfId="1891" xr:uid="{00000000-0005-0000-0000-0000FC060000}"/>
    <cellStyle name="40% - 강조색4 15 2" xfId="1892" xr:uid="{00000000-0005-0000-0000-0000FD060000}"/>
    <cellStyle name="40% - 강조색4 15 3" xfId="1893" xr:uid="{00000000-0005-0000-0000-0000FE060000}"/>
    <cellStyle name="40% - 강조색4 15 4" xfId="1894" xr:uid="{00000000-0005-0000-0000-0000FF060000}"/>
    <cellStyle name="40% - 강조색4 16" xfId="1895" xr:uid="{00000000-0005-0000-0000-000000070000}"/>
    <cellStyle name="40% - 강조색4 17" xfId="1896" xr:uid="{00000000-0005-0000-0000-000001070000}"/>
    <cellStyle name="40% - 강조색4 18" xfId="1897" xr:uid="{00000000-0005-0000-0000-000002070000}"/>
    <cellStyle name="40% - 강조색4 19" xfId="1898" xr:uid="{00000000-0005-0000-0000-000003070000}"/>
    <cellStyle name="40% - 강조색4 2" xfId="1899" xr:uid="{00000000-0005-0000-0000-000004070000}"/>
    <cellStyle name="40% - 강조색4 3" xfId="1900" xr:uid="{00000000-0005-0000-0000-000005070000}"/>
    <cellStyle name="40% - 강조색4 4" xfId="1901" xr:uid="{00000000-0005-0000-0000-000006070000}"/>
    <cellStyle name="40% - 강조색4 5" xfId="1902" xr:uid="{00000000-0005-0000-0000-000007070000}"/>
    <cellStyle name="40% - 강조색4 6" xfId="1903" xr:uid="{00000000-0005-0000-0000-000008070000}"/>
    <cellStyle name="40% - 강조색4 6 2" xfId="1904" xr:uid="{00000000-0005-0000-0000-000009070000}"/>
    <cellStyle name="40% - 강조색4 6 3" xfId="1905" xr:uid="{00000000-0005-0000-0000-00000A070000}"/>
    <cellStyle name="40% - 강조색4 6 4" xfId="1906" xr:uid="{00000000-0005-0000-0000-00000B070000}"/>
    <cellStyle name="40% - 강조색4 7" xfId="1907" xr:uid="{00000000-0005-0000-0000-00000C070000}"/>
    <cellStyle name="40% - 강조색4 7 2" xfId="1908" xr:uid="{00000000-0005-0000-0000-00000D070000}"/>
    <cellStyle name="40% - 강조색4 7 3" xfId="1909" xr:uid="{00000000-0005-0000-0000-00000E070000}"/>
    <cellStyle name="40% - 강조색4 7 4" xfId="1910" xr:uid="{00000000-0005-0000-0000-00000F070000}"/>
    <cellStyle name="40% - 강조색4 8" xfId="1911" xr:uid="{00000000-0005-0000-0000-000010070000}"/>
    <cellStyle name="40% - 강조색4 8 2" xfId="1912" xr:uid="{00000000-0005-0000-0000-000011070000}"/>
    <cellStyle name="40% - 강조색4 8 3" xfId="1913" xr:uid="{00000000-0005-0000-0000-000012070000}"/>
    <cellStyle name="40% - 강조색4 8 4" xfId="1914" xr:uid="{00000000-0005-0000-0000-000013070000}"/>
    <cellStyle name="40% - 강조색4 9" xfId="1915" xr:uid="{00000000-0005-0000-0000-000014070000}"/>
    <cellStyle name="40% - 강조색4 9 2" xfId="1916" xr:uid="{00000000-0005-0000-0000-000015070000}"/>
    <cellStyle name="40% - 강조색4 9 3" xfId="1917" xr:uid="{00000000-0005-0000-0000-000016070000}"/>
    <cellStyle name="40% - 강조색4 9 4" xfId="1918" xr:uid="{00000000-0005-0000-0000-000017070000}"/>
    <cellStyle name="40% - 강조색5 10" xfId="1919" xr:uid="{00000000-0005-0000-0000-000018070000}"/>
    <cellStyle name="40% - 강조색5 10 2" xfId="1920" xr:uid="{00000000-0005-0000-0000-000019070000}"/>
    <cellStyle name="40% - 강조색5 10 3" xfId="1921" xr:uid="{00000000-0005-0000-0000-00001A070000}"/>
    <cellStyle name="40% - 강조색5 10 4" xfId="1922" xr:uid="{00000000-0005-0000-0000-00001B070000}"/>
    <cellStyle name="40% - 강조색5 11" xfId="1923" xr:uid="{00000000-0005-0000-0000-00001C070000}"/>
    <cellStyle name="40% - 강조색5 11 2" xfId="1924" xr:uid="{00000000-0005-0000-0000-00001D070000}"/>
    <cellStyle name="40% - 강조색5 11 3" xfId="1925" xr:uid="{00000000-0005-0000-0000-00001E070000}"/>
    <cellStyle name="40% - 강조색5 11 4" xfId="1926" xr:uid="{00000000-0005-0000-0000-00001F070000}"/>
    <cellStyle name="40% - 강조색5 12" xfId="1927" xr:uid="{00000000-0005-0000-0000-000020070000}"/>
    <cellStyle name="40% - 강조색5 12 2" xfId="1928" xr:uid="{00000000-0005-0000-0000-000021070000}"/>
    <cellStyle name="40% - 강조색5 12 3" xfId="1929" xr:uid="{00000000-0005-0000-0000-000022070000}"/>
    <cellStyle name="40% - 강조색5 12 4" xfId="1930" xr:uid="{00000000-0005-0000-0000-000023070000}"/>
    <cellStyle name="40% - 강조색5 13" xfId="1931" xr:uid="{00000000-0005-0000-0000-000024070000}"/>
    <cellStyle name="40% - 강조색5 13 2" xfId="1932" xr:uid="{00000000-0005-0000-0000-000025070000}"/>
    <cellStyle name="40% - 강조색5 13 3" xfId="1933" xr:uid="{00000000-0005-0000-0000-000026070000}"/>
    <cellStyle name="40% - 강조색5 13 4" xfId="1934" xr:uid="{00000000-0005-0000-0000-000027070000}"/>
    <cellStyle name="40% - 강조색5 14" xfId="1935" xr:uid="{00000000-0005-0000-0000-000028070000}"/>
    <cellStyle name="40% - 강조색5 14 2" xfId="1936" xr:uid="{00000000-0005-0000-0000-000029070000}"/>
    <cellStyle name="40% - 강조색5 14 3" xfId="1937" xr:uid="{00000000-0005-0000-0000-00002A070000}"/>
    <cellStyle name="40% - 강조색5 14 4" xfId="1938" xr:uid="{00000000-0005-0000-0000-00002B070000}"/>
    <cellStyle name="40% - 강조색5 15" xfId="1939" xr:uid="{00000000-0005-0000-0000-00002C070000}"/>
    <cellStyle name="40% - 강조색5 15 2" xfId="1940" xr:uid="{00000000-0005-0000-0000-00002D070000}"/>
    <cellStyle name="40% - 강조색5 15 3" xfId="1941" xr:uid="{00000000-0005-0000-0000-00002E070000}"/>
    <cellStyle name="40% - 강조색5 15 4" xfId="1942" xr:uid="{00000000-0005-0000-0000-00002F070000}"/>
    <cellStyle name="40% - 강조색5 16" xfId="1943" xr:uid="{00000000-0005-0000-0000-000030070000}"/>
    <cellStyle name="40% - 강조색5 17" xfId="1944" xr:uid="{00000000-0005-0000-0000-000031070000}"/>
    <cellStyle name="40% - 강조색5 18" xfId="1945" xr:uid="{00000000-0005-0000-0000-000032070000}"/>
    <cellStyle name="40% - 강조색5 19" xfId="1946" xr:uid="{00000000-0005-0000-0000-000033070000}"/>
    <cellStyle name="40% - 강조색5 2" xfId="1947" xr:uid="{00000000-0005-0000-0000-000034070000}"/>
    <cellStyle name="40% - 강조색5 3" xfId="1948" xr:uid="{00000000-0005-0000-0000-000035070000}"/>
    <cellStyle name="40% - 강조색5 4" xfId="1949" xr:uid="{00000000-0005-0000-0000-000036070000}"/>
    <cellStyle name="40% - 강조색5 5" xfId="1950" xr:uid="{00000000-0005-0000-0000-000037070000}"/>
    <cellStyle name="40% - 강조색5 6" xfId="1951" xr:uid="{00000000-0005-0000-0000-000038070000}"/>
    <cellStyle name="40% - 강조색5 6 2" xfId="1952" xr:uid="{00000000-0005-0000-0000-000039070000}"/>
    <cellStyle name="40% - 강조색5 6 3" xfId="1953" xr:uid="{00000000-0005-0000-0000-00003A070000}"/>
    <cellStyle name="40% - 강조색5 6 4" xfId="1954" xr:uid="{00000000-0005-0000-0000-00003B070000}"/>
    <cellStyle name="40% - 강조색5 7" xfId="1955" xr:uid="{00000000-0005-0000-0000-00003C070000}"/>
    <cellStyle name="40% - 강조색5 7 2" xfId="1956" xr:uid="{00000000-0005-0000-0000-00003D070000}"/>
    <cellStyle name="40% - 강조색5 7 3" xfId="1957" xr:uid="{00000000-0005-0000-0000-00003E070000}"/>
    <cellStyle name="40% - 강조색5 7 4" xfId="1958" xr:uid="{00000000-0005-0000-0000-00003F070000}"/>
    <cellStyle name="40% - 강조색5 8" xfId="1959" xr:uid="{00000000-0005-0000-0000-000040070000}"/>
    <cellStyle name="40% - 강조색5 8 2" xfId="1960" xr:uid="{00000000-0005-0000-0000-000041070000}"/>
    <cellStyle name="40% - 강조색5 8 3" xfId="1961" xr:uid="{00000000-0005-0000-0000-000042070000}"/>
    <cellStyle name="40% - 강조색5 8 4" xfId="1962" xr:uid="{00000000-0005-0000-0000-000043070000}"/>
    <cellStyle name="40% - 강조색5 9" xfId="1963" xr:uid="{00000000-0005-0000-0000-000044070000}"/>
    <cellStyle name="40% - 강조색5 9 2" xfId="1964" xr:uid="{00000000-0005-0000-0000-000045070000}"/>
    <cellStyle name="40% - 강조색5 9 3" xfId="1965" xr:uid="{00000000-0005-0000-0000-000046070000}"/>
    <cellStyle name="40% - 강조색5 9 4" xfId="1966" xr:uid="{00000000-0005-0000-0000-000047070000}"/>
    <cellStyle name="40% - 강조색6 10" xfId="1967" xr:uid="{00000000-0005-0000-0000-000048070000}"/>
    <cellStyle name="40% - 강조색6 10 2" xfId="1968" xr:uid="{00000000-0005-0000-0000-000049070000}"/>
    <cellStyle name="40% - 강조색6 10 3" xfId="1969" xr:uid="{00000000-0005-0000-0000-00004A070000}"/>
    <cellStyle name="40% - 강조색6 10 4" xfId="1970" xr:uid="{00000000-0005-0000-0000-00004B070000}"/>
    <cellStyle name="40% - 강조색6 11" xfId="1971" xr:uid="{00000000-0005-0000-0000-00004C070000}"/>
    <cellStyle name="40% - 강조색6 11 2" xfId="1972" xr:uid="{00000000-0005-0000-0000-00004D070000}"/>
    <cellStyle name="40% - 강조색6 11 3" xfId="1973" xr:uid="{00000000-0005-0000-0000-00004E070000}"/>
    <cellStyle name="40% - 강조색6 11 4" xfId="1974" xr:uid="{00000000-0005-0000-0000-00004F070000}"/>
    <cellStyle name="40% - 강조색6 12" xfId="1975" xr:uid="{00000000-0005-0000-0000-000050070000}"/>
    <cellStyle name="40% - 강조색6 12 2" xfId="1976" xr:uid="{00000000-0005-0000-0000-000051070000}"/>
    <cellStyle name="40% - 강조색6 12 3" xfId="1977" xr:uid="{00000000-0005-0000-0000-000052070000}"/>
    <cellStyle name="40% - 강조색6 12 4" xfId="1978" xr:uid="{00000000-0005-0000-0000-000053070000}"/>
    <cellStyle name="40% - 강조색6 13" xfId="1979" xr:uid="{00000000-0005-0000-0000-000054070000}"/>
    <cellStyle name="40% - 강조색6 13 2" xfId="1980" xr:uid="{00000000-0005-0000-0000-000055070000}"/>
    <cellStyle name="40% - 강조색6 13 3" xfId="1981" xr:uid="{00000000-0005-0000-0000-000056070000}"/>
    <cellStyle name="40% - 강조색6 13 4" xfId="1982" xr:uid="{00000000-0005-0000-0000-000057070000}"/>
    <cellStyle name="40% - 강조색6 14" xfId="1983" xr:uid="{00000000-0005-0000-0000-000058070000}"/>
    <cellStyle name="40% - 강조색6 14 2" xfId="1984" xr:uid="{00000000-0005-0000-0000-000059070000}"/>
    <cellStyle name="40% - 강조색6 14 3" xfId="1985" xr:uid="{00000000-0005-0000-0000-00005A070000}"/>
    <cellStyle name="40% - 강조색6 14 4" xfId="1986" xr:uid="{00000000-0005-0000-0000-00005B070000}"/>
    <cellStyle name="40% - 강조색6 15" xfId="1987" xr:uid="{00000000-0005-0000-0000-00005C070000}"/>
    <cellStyle name="40% - 강조색6 15 2" xfId="1988" xr:uid="{00000000-0005-0000-0000-00005D070000}"/>
    <cellStyle name="40% - 강조색6 15 3" xfId="1989" xr:uid="{00000000-0005-0000-0000-00005E070000}"/>
    <cellStyle name="40% - 강조색6 15 4" xfId="1990" xr:uid="{00000000-0005-0000-0000-00005F070000}"/>
    <cellStyle name="40% - 강조색6 16" xfId="1991" xr:uid="{00000000-0005-0000-0000-000060070000}"/>
    <cellStyle name="40% - 강조색6 17" xfId="1992" xr:uid="{00000000-0005-0000-0000-000061070000}"/>
    <cellStyle name="40% - 강조색6 18" xfId="1993" xr:uid="{00000000-0005-0000-0000-000062070000}"/>
    <cellStyle name="40% - 강조색6 19" xfId="1994" xr:uid="{00000000-0005-0000-0000-000063070000}"/>
    <cellStyle name="40% - 강조색6 2" xfId="1995" xr:uid="{00000000-0005-0000-0000-000064070000}"/>
    <cellStyle name="40% - 강조색6 3" xfId="1996" xr:uid="{00000000-0005-0000-0000-000065070000}"/>
    <cellStyle name="40% - 강조색6 4" xfId="1997" xr:uid="{00000000-0005-0000-0000-000066070000}"/>
    <cellStyle name="40% - 강조색6 5" xfId="1998" xr:uid="{00000000-0005-0000-0000-000067070000}"/>
    <cellStyle name="40% - 강조색6 6" xfId="1999" xr:uid="{00000000-0005-0000-0000-000068070000}"/>
    <cellStyle name="40% - 강조색6 6 2" xfId="2000" xr:uid="{00000000-0005-0000-0000-000069070000}"/>
    <cellStyle name="40% - 강조색6 6 3" xfId="2001" xr:uid="{00000000-0005-0000-0000-00006A070000}"/>
    <cellStyle name="40% - 강조색6 6 4" xfId="2002" xr:uid="{00000000-0005-0000-0000-00006B070000}"/>
    <cellStyle name="40% - 강조색6 7" xfId="2003" xr:uid="{00000000-0005-0000-0000-00006C070000}"/>
    <cellStyle name="40% - 강조색6 7 2" xfId="2004" xr:uid="{00000000-0005-0000-0000-00006D070000}"/>
    <cellStyle name="40% - 강조색6 7 3" xfId="2005" xr:uid="{00000000-0005-0000-0000-00006E070000}"/>
    <cellStyle name="40% - 강조색6 7 4" xfId="2006" xr:uid="{00000000-0005-0000-0000-00006F070000}"/>
    <cellStyle name="40% - 강조색6 8" xfId="2007" xr:uid="{00000000-0005-0000-0000-000070070000}"/>
    <cellStyle name="40% - 강조색6 8 2" xfId="2008" xr:uid="{00000000-0005-0000-0000-000071070000}"/>
    <cellStyle name="40% - 강조색6 8 3" xfId="2009" xr:uid="{00000000-0005-0000-0000-000072070000}"/>
    <cellStyle name="40% - 강조색6 8 4" xfId="2010" xr:uid="{00000000-0005-0000-0000-000073070000}"/>
    <cellStyle name="40% - 강조색6 9" xfId="2011" xr:uid="{00000000-0005-0000-0000-000074070000}"/>
    <cellStyle name="40% - 강조색6 9 2" xfId="2012" xr:uid="{00000000-0005-0000-0000-000075070000}"/>
    <cellStyle name="40% - 강조색6 9 3" xfId="2013" xr:uid="{00000000-0005-0000-0000-000076070000}"/>
    <cellStyle name="40% - 강조색6 9 4" xfId="2014" xr:uid="{00000000-0005-0000-0000-000077070000}"/>
    <cellStyle name="60% - 강조색1 2" xfId="2015" xr:uid="{00000000-0005-0000-0000-000078070000}"/>
    <cellStyle name="60% - 강조색1 3" xfId="2016" xr:uid="{00000000-0005-0000-0000-000079070000}"/>
    <cellStyle name="60% - 강조색1 4" xfId="2017" xr:uid="{00000000-0005-0000-0000-00007A070000}"/>
    <cellStyle name="60% - 강조색1 5" xfId="2018" xr:uid="{00000000-0005-0000-0000-00007B070000}"/>
    <cellStyle name="60% - 강조색1 6" xfId="2019" xr:uid="{00000000-0005-0000-0000-00007C070000}"/>
    <cellStyle name="60% - 강조색2 2" xfId="2020" xr:uid="{00000000-0005-0000-0000-00007D070000}"/>
    <cellStyle name="60% - 강조색2 3" xfId="2021" xr:uid="{00000000-0005-0000-0000-00007E070000}"/>
    <cellStyle name="60% - 강조색2 4" xfId="2022" xr:uid="{00000000-0005-0000-0000-00007F070000}"/>
    <cellStyle name="60% - 강조색2 5" xfId="2023" xr:uid="{00000000-0005-0000-0000-000080070000}"/>
    <cellStyle name="60% - 강조색2 6" xfId="2024" xr:uid="{00000000-0005-0000-0000-000081070000}"/>
    <cellStyle name="60% - 강조색3 2" xfId="2025" xr:uid="{00000000-0005-0000-0000-000082070000}"/>
    <cellStyle name="60% - 강조색3 3" xfId="2026" xr:uid="{00000000-0005-0000-0000-000083070000}"/>
    <cellStyle name="60% - 강조색3 4" xfId="2027" xr:uid="{00000000-0005-0000-0000-000084070000}"/>
    <cellStyle name="60% - 강조색3 5" xfId="2028" xr:uid="{00000000-0005-0000-0000-000085070000}"/>
    <cellStyle name="60% - 강조색3 6" xfId="2029" xr:uid="{00000000-0005-0000-0000-000086070000}"/>
    <cellStyle name="60% - 강조색4 2" xfId="2030" xr:uid="{00000000-0005-0000-0000-000087070000}"/>
    <cellStyle name="60% - 강조색4 3" xfId="2031" xr:uid="{00000000-0005-0000-0000-000088070000}"/>
    <cellStyle name="60% - 강조색4 4" xfId="2032" xr:uid="{00000000-0005-0000-0000-000089070000}"/>
    <cellStyle name="60% - 강조색4 5" xfId="2033" xr:uid="{00000000-0005-0000-0000-00008A070000}"/>
    <cellStyle name="60% - 강조색4 6" xfId="2034" xr:uid="{00000000-0005-0000-0000-00008B070000}"/>
    <cellStyle name="60% - 강조색5 2" xfId="2035" xr:uid="{00000000-0005-0000-0000-00008C070000}"/>
    <cellStyle name="60% - 강조색5 3" xfId="2036" xr:uid="{00000000-0005-0000-0000-00008D070000}"/>
    <cellStyle name="60% - 강조색5 4" xfId="2037" xr:uid="{00000000-0005-0000-0000-00008E070000}"/>
    <cellStyle name="60% - 강조색5 5" xfId="2038" xr:uid="{00000000-0005-0000-0000-00008F070000}"/>
    <cellStyle name="60% - 강조색5 6" xfId="2039" xr:uid="{00000000-0005-0000-0000-000090070000}"/>
    <cellStyle name="60% - 강조색6 2" xfId="2040" xr:uid="{00000000-0005-0000-0000-000091070000}"/>
    <cellStyle name="60% - 강조색6 3" xfId="2041" xr:uid="{00000000-0005-0000-0000-000092070000}"/>
    <cellStyle name="60% - 강조색6 4" xfId="2042" xr:uid="{00000000-0005-0000-0000-000093070000}"/>
    <cellStyle name="60% - 강조색6 5" xfId="2043" xr:uid="{00000000-0005-0000-0000-000094070000}"/>
    <cellStyle name="60% - 강조색6 6" xfId="2044" xr:uid="{00000000-0005-0000-0000-000095070000}"/>
    <cellStyle name="82" xfId="1337" xr:uid="{00000000-0005-0000-0000-000096070000}"/>
    <cellStyle name="AeE­ [0]_3ÆA °³AI " xfId="1338" xr:uid="{00000000-0005-0000-0000-000097070000}"/>
    <cellStyle name="ÅëÈ­ [0]_laroux" xfId="1339" xr:uid="{00000000-0005-0000-0000-000098070000}"/>
    <cellStyle name="AeE­ [0]_laroux_1" xfId="1340" xr:uid="{00000000-0005-0000-0000-000099070000}"/>
    <cellStyle name="ÅëÈ­ [0]_laroux_1" xfId="1341" xr:uid="{00000000-0005-0000-0000-00009A070000}"/>
    <cellStyle name="AeE­ [0]_laroux_2" xfId="1342" xr:uid="{00000000-0005-0000-0000-00009B070000}"/>
    <cellStyle name="ÅëÈ­ [0]_laroux_2" xfId="1343" xr:uid="{00000000-0005-0000-0000-00009C070000}"/>
    <cellStyle name="AeE­_3ÆA °³AI " xfId="1344" xr:uid="{00000000-0005-0000-0000-00009D070000}"/>
    <cellStyle name="ÅëÈ­_laroux" xfId="1345" xr:uid="{00000000-0005-0000-0000-00009E070000}"/>
    <cellStyle name="AeE­_laroux_1" xfId="1346" xr:uid="{00000000-0005-0000-0000-00009F070000}"/>
    <cellStyle name="ÅëÈ­_laroux_1" xfId="1347" xr:uid="{00000000-0005-0000-0000-0000A0070000}"/>
    <cellStyle name="AeE­_laroux_2" xfId="1348" xr:uid="{00000000-0005-0000-0000-0000A1070000}"/>
    <cellStyle name="ÅëÈ­_laroux_2" xfId="1349" xr:uid="{00000000-0005-0000-0000-0000A2070000}"/>
    <cellStyle name="AÞ¸¶ [0]_°u¸RBS('98) " xfId="1350" xr:uid="{00000000-0005-0000-0000-0000A3070000}"/>
    <cellStyle name="ÄÞ¸¶ [0]_laroux" xfId="1351" xr:uid="{00000000-0005-0000-0000-0000A4070000}"/>
    <cellStyle name="AÞ¸¶ [0]_laroux_1" xfId="1352" xr:uid="{00000000-0005-0000-0000-0000A5070000}"/>
    <cellStyle name="ÄÞ¸¶ [0]_laroux_1" xfId="1353" xr:uid="{00000000-0005-0000-0000-0000A6070000}"/>
    <cellStyle name="AÞ¸¶ [0]_laroux_2" xfId="1354" xr:uid="{00000000-0005-0000-0000-0000A7070000}"/>
    <cellStyle name="ÄÞ¸¶ [0]_laroux_2" xfId="1355" xr:uid="{00000000-0005-0000-0000-0000A8070000}"/>
    <cellStyle name="AÞ¸¶_3ÆA °³AI " xfId="1356" xr:uid="{00000000-0005-0000-0000-0000A9070000}"/>
    <cellStyle name="ÄÞ¸¶_laroux" xfId="1357" xr:uid="{00000000-0005-0000-0000-0000AA070000}"/>
    <cellStyle name="AÞ¸¶_laroux_1" xfId="1358" xr:uid="{00000000-0005-0000-0000-0000AB070000}"/>
    <cellStyle name="ÄÞ¸¶_laroux_1" xfId="1359" xr:uid="{00000000-0005-0000-0000-0000AC070000}"/>
    <cellStyle name="AÞ¸¶_laroux_2" xfId="1360" xr:uid="{00000000-0005-0000-0000-0000AD070000}"/>
    <cellStyle name="ÄÞ¸¶_laroux_2" xfId="1361" xr:uid="{00000000-0005-0000-0000-0000AE070000}"/>
    <cellStyle name="body" xfId="1362" xr:uid="{00000000-0005-0000-0000-0000AF070000}"/>
    <cellStyle name="C￥AØ_  FAB AIA¤  " xfId="1363" xr:uid="{00000000-0005-0000-0000-0000B0070000}"/>
    <cellStyle name="Ç¥ÁØ_laroux" xfId="1364" xr:uid="{00000000-0005-0000-0000-0000B1070000}"/>
    <cellStyle name="C￥AØ_laroux_1" xfId="1365" xr:uid="{00000000-0005-0000-0000-0000B2070000}"/>
    <cellStyle name="Ç¥ÁØ_laroux_1" xfId="1366" xr:uid="{00000000-0005-0000-0000-0000B3070000}"/>
    <cellStyle name="Calc Currency (0)" xfId="1367" xr:uid="{00000000-0005-0000-0000-0000B4070000}"/>
    <cellStyle name="category" xfId="1368" xr:uid="{00000000-0005-0000-0000-0000B5070000}"/>
    <cellStyle name="Comma" xfId="1369" xr:uid="{00000000-0005-0000-0000-0000B6070000}"/>
    <cellStyle name="Comma [0]" xfId="1370" xr:uid="{00000000-0005-0000-0000-0000B7070000}"/>
    <cellStyle name="comma zerodec" xfId="1371" xr:uid="{00000000-0005-0000-0000-0000B8070000}"/>
    <cellStyle name="comma zerodec 2" xfId="2045" xr:uid="{00000000-0005-0000-0000-0000B9070000}"/>
    <cellStyle name="Comma_ SG&amp;A Bridge " xfId="1372" xr:uid="{00000000-0005-0000-0000-0000BA070000}"/>
    <cellStyle name="Copied" xfId="1373" xr:uid="{00000000-0005-0000-0000-0000BB070000}"/>
    <cellStyle name="Currency" xfId="1374" xr:uid="{00000000-0005-0000-0000-0000BC070000}"/>
    <cellStyle name="Currency [0]" xfId="1375" xr:uid="{00000000-0005-0000-0000-0000BD070000}"/>
    <cellStyle name="Currency 10" xfId="2046" xr:uid="{00000000-0005-0000-0000-0000BE070000}"/>
    <cellStyle name="Currency 11" xfId="2047" xr:uid="{00000000-0005-0000-0000-0000BF070000}"/>
    <cellStyle name="Currency 12" xfId="2048" xr:uid="{00000000-0005-0000-0000-0000C0070000}"/>
    <cellStyle name="Currency 13" xfId="2049" xr:uid="{00000000-0005-0000-0000-0000C1070000}"/>
    <cellStyle name="Currency 14" xfId="2050" xr:uid="{00000000-0005-0000-0000-0000C2070000}"/>
    <cellStyle name="Currency 15" xfId="2051" xr:uid="{00000000-0005-0000-0000-0000C3070000}"/>
    <cellStyle name="Currency 16" xfId="2052" xr:uid="{00000000-0005-0000-0000-0000C4070000}"/>
    <cellStyle name="Currency 17" xfId="2053" xr:uid="{00000000-0005-0000-0000-0000C5070000}"/>
    <cellStyle name="Currency 18" xfId="2054" xr:uid="{00000000-0005-0000-0000-0000C6070000}"/>
    <cellStyle name="Currency 19" xfId="2055" xr:uid="{00000000-0005-0000-0000-0000C7070000}"/>
    <cellStyle name="Currency 2" xfId="2056" xr:uid="{00000000-0005-0000-0000-0000C8070000}"/>
    <cellStyle name="Currency 20" xfId="2057" xr:uid="{00000000-0005-0000-0000-0000C9070000}"/>
    <cellStyle name="Currency 21" xfId="2058" xr:uid="{00000000-0005-0000-0000-0000CA070000}"/>
    <cellStyle name="Currency 22" xfId="2059" xr:uid="{00000000-0005-0000-0000-0000CB070000}"/>
    <cellStyle name="Currency 23" xfId="2060" xr:uid="{00000000-0005-0000-0000-0000CC070000}"/>
    <cellStyle name="Currency 24" xfId="2061" xr:uid="{00000000-0005-0000-0000-0000CD070000}"/>
    <cellStyle name="Currency 25" xfId="2062" xr:uid="{00000000-0005-0000-0000-0000CE070000}"/>
    <cellStyle name="Currency 26" xfId="2063" xr:uid="{00000000-0005-0000-0000-0000CF070000}"/>
    <cellStyle name="Currency 27" xfId="2064" xr:uid="{00000000-0005-0000-0000-0000D0070000}"/>
    <cellStyle name="Currency 28" xfId="2065" xr:uid="{00000000-0005-0000-0000-0000D1070000}"/>
    <cellStyle name="Currency 29" xfId="2066" xr:uid="{00000000-0005-0000-0000-0000D2070000}"/>
    <cellStyle name="Currency 3" xfId="2067" xr:uid="{00000000-0005-0000-0000-0000D3070000}"/>
    <cellStyle name="Currency 30" xfId="2068" xr:uid="{00000000-0005-0000-0000-0000D4070000}"/>
    <cellStyle name="Currency 31" xfId="2069" xr:uid="{00000000-0005-0000-0000-0000D5070000}"/>
    <cellStyle name="Currency 32" xfId="2070" xr:uid="{00000000-0005-0000-0000-0000D6070000}"/>
    <cellStyle name="Currency 33" xfId="2071" xr:uid="{00000000-0005-0000-0000-0000D7070000}"/>
    <cellStyle name="Currency 34" xfId="2072" xr:uid="{00000000-0005-0000-0000-0000D8070000}"/>
    <cellStyle name="Currency 35" xfId="2073" xr:uid="{00000000-0005-0000-0000-0000D9070000}"/>
    <cellStyle name="Currency 36" xfId="2074" xr:uid="{00000000-0005-0000-0000-0000DA070000}"/>
    <cellStyle name="Currency 37" xfId="2075" xr:uid="{00000000-0005-0000-0000-0000DB070000}"/>
    <cellStyle name="Currency 38" xfId="2076" xr:uid="{00000000-0005-0000-0000-0000DC070000}"/>
    <cellStyle name="Currency 39" xfId="2077" xr:uid="{00000000-0005-0000-0000-0000DD070000}"/>
    <cellStyle name="Currency 4" xfId="2078" xr:uid="{00000000-0005-0000-0000-0000DE070000}"/>
    <cellStyle name="Currency 40" xfId="2079" xr:uid="{00000000-0005-0000-0000-0000DF070000}"/>
    <cellStyle name="Currency 41" xfId="2080" xr:uid="{00000000-0005-0000-0000-0000E0070000}"/>
    <cellStyle name="Currency 42" xfId="2081" xr:uid="{00000000-0005-0000-0000-0000E1070000}"/>
    <cellStyle name="Currency 43" xfId="2082" xr:uid="{00000000-0005-0000-0000-0000E2070000}"/>
    <cellStyle name="Currency 44" xfId="2083" xr:uid="{00000000-0005-0000-0000-0000E3070000}"/>
    <cellStyle name="Currency 45" xfId="2084" xr:uid="{00000000-0005-0000-0000-0000E4070000}"/>
    <cellStyle name="Currency 46" xfId="2085" xr:uid="{00000000-0005-0000-0000-0000E5070000}"/>
    <cellStyle name="Currency 47" xfId="2086" xr:uid="{00000000-0005-0000-0000-0000E6070000}"/>
    <cellStyle name="Currency 48" xfId="2087" xr:uid="{00000000-0005-0000-0000-0000E7070000}"/>
    <cellStyle name="Currency 49" xfId="2088" xr:uid="{00000000-0005-0000-0000-0000E8070000}"/>
    <cellStyle name="Currency 5" xfId="2089" xr:uid="{00000000-0005-0000-0000-0000E9070000}"/>
    <cellStyle name="Currency 50" xfId="2090" xr:uid="{00000000-0005-0000-0000-0000EA070000}"/>
    <cellStyle name="Currency 51" xfId="2091" xr:uid="{00000000-0005-0000-0000-0000EB070000}"/>
    <cellStyle name="Currency 52" xfId="2092" xr:uid="{00000000-0005-0000-0000-0000EC070000}"/>
    <cellStyle name="Currency 53" xfId="2093" xr:uid="{00000000-0005-0000-0000-0000ED070000}"/>
    <cellStyle name="Currency 54" xfId="2094" xr:uid="{00000000-0005-0000-0000-0000EE070000}"/>
    <cellStyle name="Currency 55" xfId="2095" xr:uid="{00000000-0005-0000-0000-0000EF070000}"/>
    <cellStyle name="Currency 56" xfId="2096" xr:uid="{00000000-0005-0000-0000-0000F0070000}"/>
    <cellStyle name="Currency 57" xfId="2097" xr:uid="{00000000-0005-0000-0000-0000F1070000}"/>
    <cellStyle name="Currency 58" xfId="2098" xr:uid="{00000000-0005-0000-0000-0000F2070000}"/>
    <cellStyle name="Currency 59" xfId="2099" xr:uid="{00000000-0005-0000-0000-0000F3070000}"/>
    <cellStyle name="Currency 6" xfId="2100" xr:uid="{00000000-0005-0000-0000-0000F4070000}"/>
    <cellStyle name="Currency 60" xfId="2101" xr:uid="{00000000-0005-0000-0000-0000F5070000}"/>
    <cellStyle name="Currency 61" xfId="2102" xr:uid="{00000000-0005-0000-0000-0000F6070000}"/>
    <cellStyle name="Currency 62" xfId="2103" xr:uid="{00000000-0005-0000-0000-0000F7070000}"/>
    <cellStyle name="Currency 63" xfId="2104" xr:uid="{00000000-0005-0000-0000-0000F8070000}"/>
    <cellStyle name="Currency 64" xfId="2105" xr:uid="{00000000-0005-0000-0000-0000F9070000}"/>
    <cellStyle name="Currency 65" xfId="2106" xr:uid="{00000000-0005-0000-0000-0000FA070000}"/>
    <cellStyle name="Currency 66" xfId="2377" xr:uid="{00000000-0005-0000-0000-0000FB070000}"/>
    <cellStyle name="Currency 67" xfId="2382" xr:uid="{00000000-0005-0000-0000-0000FC070000}"/>
    <cellStyle name="Currency 68" xfId="2381" xr:uid="{00000000-0005-0000-0000-0000FD070000}"/>
    <cellStyle name="Currency 69" xfId="2383" xr:uid="{00000000-0005-0000-0000-0000FE070000}"/>
    <cellStyle name="Currency 7" xfId="2107" xr:uid="{00000000-0005-0000-0000-0000FF070000}"/>
    <cellStyle name="Currency 70" xfId="2380" xr:uid="{00000000-0005-0000-0000-000000080000}"/>
    <cellStyle name="Currency 71" xfId="2384" xr:uid="{00000000-0005-0000-0000-000001080000}"/>
    <cellStyle name="Currency 72" xfId="2379" xr:uid="{00000000-0005-0000-0000-000002080000}"/>
    <cellStyle name="Currency 73" xfId="2388" xr:uid="{00000000-0005-0000-0000-000003080000}"/>
    <cellStyle name="Currency 74" xfId="2390" xr:uid="{00000000-0005-0000-0000-000004080000}"/>
    <cellStyle name="Currency 75" xfId="2396" xr:uid="{00000000-0005-0000-0000-000005080000}"/>
    <cellStyle name="Currency 76" xfId="2395" xr:uid="{00000000-0005-0000-0000-000006080000}"/>
    <cellStyle name="Currency 8" xfId="2108" xr:uid="{00000000-0005-0000-0000-000007080000}"/>
    <cellStyle name="Currency 9" xfId="2109" xr:uid="{00000000-0005-0000-0000-000008080000}"/>
    <cellStyle name="Currency_ SG&amp;A Bridge " xfId="1376" xr:uid="{00000000-0005-0000-0000-000009080000}"/>
    <cellStyle name="Currency1" xfId="1377" xr:uid="{00000000-0005-0000-0000-00000A080000}"/>
    <cellStyle name="Dezimal [0]_laroux" xfId="1378" xr:uid="{00000000-0005-0000-0000-00000B080000}"/>
    <cellStyle name="Dezimal_laroux" xfId="1379" xr:uid="{00000000-0005-0000-0000-00000C080000}"/>
    <cellStyle name="Dollar (zero dec)" xfId="1380" xr:uid="{00000000-0005-0000-0000-00000D080000}"/>
    <cellStyle name="Entered" xfId="1381" xr:uid="{00000000-0005-0000-0000-00000E080000}"/>
    <cellStyle name="Grey" xfId="1382" xr:uid="{00000000-0005-0000-0000-00000F080000}"/>
    <cellStyle name="HEADER" xfId="1383" xr:uid="{00000000-0005-0000-0000-000010080000}"/>
    <cellStyle name="Header1" xfId="1384" xr:uid="{00000000-0005-0000-0000-000011080000}"/>
    <cellStyle name="Header2" xfId="1385" xr:uid="{00000000-0005-0000-0000-000012080000}"/>
    <cellStyle name="Input [yellow]" xfId="1386" xr:uid="{00000000-0005-0000-0000-000013080000}"/>
    <cellStyle name="Milliers [0]_Arabian Spec" xfId="1387" xr:uid="{00000000-0005-0000-0000-000014080000}"/>
    <cellStyle name="Milliers_Arabian Spec" xfId="1388" xr:uid="{00000000-0005-0000-0000-000015080000}"/>
    <cellStyle name="Model" xfId="1389" xr:uid="{00000000-0005-0000-0000-000016080000}"/>
    <cellStyle name="Mon?aire [0]_Arabian Spec" xfId="1390" xr:uid="{00000000-0005-0000-0000-000017080000}"/>
    <cellStyle name="Mon?aire_Arabian Spec" xfId="1391" xr:uid="{00000000-0005-0000-0000-000018080000}"/>
    <cellStyle name="no dec" xfId="1392" xr:uid="{00000000-0005-0000-0000-000019080000}"/>
    <cellStyle name="Normal - Style1" xfId="1393" xr:uid="{00000000-0005-0000-0000-00001A080000}"/>
    <cellStyle name="Normal_ SG&amp;A Bridge " xfId="1394" xr:uid="{00000000-0005-0000-0000-00001B080000}"/>
    <cellStyle name="Noroal_ SG&amp;A Bridge " xfId="1395" xr:uid="{00000000-0005-0000-0000-00001C080000}"/>
    <cellStyle name="Percent" xfId="1396" xr:uid="{00000000-0005-0000-0000-00001D080000}"/>
    <cellStyle name="Percent [2]" xfId="1397" xr:uid="{00000000-0005-0000-0000-00001E080000}"/>
    <cellStyle name="Percent 10" xfId="2110" xr:uid="{00000000-0005-0000-0000-00001F080000}"/>
    <cellStyle name="Percent 11" xfId="2111" xr:uid="{00000000-0005-0000-0000-000020080000}"/>
    <cellStyle name="Percent 12" xfId="2112" xr:uid="{00000000-0005-0000-0000-000021080000}"/>
    <cellStyle name="Percent 13" xfId="2113" xr:uid="{00000000-0005-0000-0000-000022080000}"/>
    <cellStyle name="Percent 14" xfId="2114" xr:uid="{00000000-0005-0000-0000-000023080000}"/>
    <cellStyle name="Percent 15" xfId="2115" xr:uid="{00000000-0005-0000-0000-000024080000}"/>
    <cellStyle name="Percent 16" xfId="2116" xr:uid="{00000000-0005-0000-0000-000025080000}"/>
    <cellStyle name="Percent 17" xfId="2117" xr:uid="{00000000-0005-0000-0000-000026080000}"/>
    <cellStyle name="Percent 18" xfId="2118" xr:uid="{00000000-0005-0000-0000-000027080000}"/>
    <cellStyle name="Percent 19" xfId="2119" xr:uid="{00000000-0005-0000-0000-000028080000}"/>
    <cellStyle name="Percent 2" xfId="2120" xr:uid="{00000000-0005-0000-0000-000029080000}"/>
    <cellStyle name="Percent 20" xfId="2121" xr:uid="{00000000-0005-0000-0000-00002A080000}"/>
    <cellStyle name="Percent 21" xfId="2122" xr:uid="{00000000-0005-0000-0000-00002B080000}"/>
    <cellStyle name="Percent 22" xfId="2123" xr:uid="{00000000-0005-0000-0000-00002C080000}"/>
    <cellStyle name="Percent 23" xfId="2124" xr:uid="{00000000-0005-0000-0000-00002D080000}"/>
    <cellStyle name="Percent 24" xfId="2125" xr:uid="{00000000-0005-0000-0000-00002E080000}"/>
    <cellStyle name="Percent 25" xfId="2126" xr:uid="{00000000-0005-0000-0000-00002F080000}"/>
    <cellStyle name="Percent 26" xfId="2127" xr:uid="{00000000-0005-0000-0000-000030080000}"/>
    <cellStyle name="Percent 27" xfId="2128" xr:uid="{00000000-0005-0000-0000-000031080000}"/>
    <cellStyle name="Percent 28" xfId="2129" xr:uid="{00000000-0005-0000-0000-000032080000}"/>
    <cellStyle name="Percent 29" xfId="2130" xr:uid="{00000000-0005-0000-0000-000033080000}"/>
    <cellStyle name="Percent 3" xfId="2131" xr:uid="{00000000-0005-0000-0000-000034080000}"/>
    <cellStyle name="Percent 30" xfId="2132" xr:uid="{00000000-0005-0000-0000-000035080000}"/>
    <cellStyle name="Percent 31" xfId="2133" xr:uid="{00000000-0005-0000-0000-000036080000}"/>
    <cellStyle name="Percent 32" xfId="2134" xr:uid="{00000000-0005-0000-0000-000037080000}"/>
    <cellStyle name="Percent 33" xfId="2135" xr:uid="{00000000-0005-0000-0000-000038080000}"/>
    <cellStyle name="Percent 34" xfId="2136" xr:uid="{00000000-0005-0000-0000-000039080000}"/>
    <cellStyle name="Percent 35" xfId="2137" xr:uid="{00000000-0005-0000-0000-00003A080000}"/>
    <cellStyle name="Percent 36" xfId="2138" xr:uid="{00000000-0005-0000-0000-00003B080000}"/>
    <cellStyle name="Percent 37" xfId="2139" xr:uid="{00000000-0005-0000-0000-00003C080000}"/>
    <cellStyle name="Percent 38" xfId="2140" xr:uid="{00000000-0005-0000-0000-00003D080000}"/>
    <cellStyle name="Percent 39" xfId="2141" xr:uid="{00000000-0005-0000-0000-00003E080000}"/>
    <cellStyle name="Percent 4" xfId="2142" xr:uid="{00000000-0005-0000-0000-00003F080000}"/>
    <cellStyle name="Percent 40" xfId="2143" xr:uid="{00000000-0005-0000-0000-000040080000}"/>
    <cellStyle name="Percent 41" xfId="2144" xr:uid="{00000000-0005-0000-0000-000041080000}"/>
    <cellStyle name="Percent 42" xfId="2145" xr:uid="{00000000-0005-0000-0000-000042080000}"/>
    <cellStyle name="Percent 43" xfId="2146" xr:uid="{00000000-0005-0000-0000-000043080000}"/>
    <cellStyle name="Percent 44" xfId="2147" xr:uid="{00000000-0005-0000-0000-000044080000}"/>
    <cellStyle name="Percent 45" xfId="2148" xr:uid="{00000000-0005-0000-0000-000045080000}"/>
    <cellStyle name="Percent 46" xfId="2149" xr:uid="{00000000-0005-0000-0000-000046080000}"/>
    <cellStyle name="Percent 47" xfId="2150" xr:uid="{00000000-0005-0000-0000-000047080000}"/>
    <cellStyle name="Percent 48" xfId="2151" xr:uid="{00000000-0005-0000-0000-000048080000}"/>
    <cellStyle name="Percent 49" xfId="2152" xr:uid="{00000000-0005-0000-0000-000049080000}"/>
    <cellStyle name="Percent 5" xfId="2153" xr:uid="{00000000-0005-0000-0000-00004A080000}"/>
    <cellStyle name="Percent 50" xfId="2154" xr:uid="{00000000-0005-0000-0000-00004B080000}"/>
    <cellStyle name="Percent 51" xfId="2155" xr:uid="{00000000-0005-0000-0000-00004C080000}"/>
    <cellStyle name="Percent 52" xfId="2156" xr:uid="{00000000-0005-0000-0000-00004D080000}"/>
    <cellStyle name="Percent 53" xfId="2157" xr:uid="{00000000-0005-0000-0000-00004E080000}"/>
    <cellStyle name="Percent 54" xfId="2158" xr:uid="{00000000-0005-0000-0000-00004F080000}"/>
    <cellStyle name="Percent 55" xfId="2159" xr:uid="{00000000-0005-0000-0000-000050080000}"/>
    <cellStyle name="Percent 56" xfId="2160" xr:uid="{00000000-0005-0000-0000-000051080000}"/>
    <cellStyle name="Percent 57" xfId="2161" xr:uid="{00000000-0005-0000-0000-000052080000}"/>
    <cellStyle name="Percent 58" xfId="2162" xr:uid="{00000000-0005-0000-0000-000053080000}"/>
    <cellStyle name="Percent 59" xfId="2163" xr:uid="{00000000-0005-0000-0000-000054080000}"/>
    <cellStyle name="Percent 6" xfId="2164" xr:uid="{00000000-0005-0000-0000-000055080000}"/>
    <cellStyle name="Percent 60" xfId="2165" xr:uid="{00000000-0005-0000-0000-000056080000}"/>
    <cellStyle name="Percent 61" xfId="2166" xr:uid="{00000000-0005-0000-0000-000057080000}"/>
    <cellStyle name="Percent 62" xfId="2167" xr:uid="{00000000-0005-0000-0000-000058080000}"/>
    <cellStyle name="Percent 63" xfId="2168" xr:uid="{00000000-0005-0000-0000-000059080000}"/>
    <cellStyle name="Percent 64" xfId="2169" xr:uid="{00000000-0005-0000-0000-00005A080000}"/>
    <cellStyle name="Percent 65" xfId="2170" xr:uid="{00000000-0005-0000-0000-00005B080000}"/>
    <cellStyle name="Percent 66" xfId="2375" xr:uid="{00000000-0005-0000-0000-00005C080000}"/>
    <cellStyle name="Percent 67" xfId="2385" xr:uid="{00000000-0005-0000-0000-00005D080000}"/>
    <cellStyle name="Percent 68" xfId="2378" xr:uid="{00000000-0005-0000-0000-00005E080000}"/>
    <cellStyle name="Percent 69" xfId="2386" xr:uid="{00000000-0005-0000-0000-00005F080000}"/>
    <cellStyle name="Percent 7" xfId="2171" xr:uid="{00000000-0005-0000-0000-000060080000}"/>
    <cellStyle name="Percent 70" xfId="2376" xr:uid="{00000000-0005-0000-0000-000061080000}"/>
    <cellStyle name="Percent 71" xfId="2387" xr:uid="{00000000-0005-0000-0000-000062080000}"/>
    <cellStyle name="Percent 72" xfId="2374" xr:uid="{00000000-0005-0000-0000-000063080000}"/>
    <cellStyle name="Percent 73" xfId="2389" xr:uid="{00000000-0005-0000-0000-000064080000}"/>
    <cellStyle name="Percent 74" xfId="2391" xr:uid="{00000000-0005-0000-0000-000065080000}"/>
    <cellStyle name="Percent 75" xfId="2397" xr:uid="{00000000-0005-0000-0000-000066080000}"/>
    <cellStyle name="Percent 76" xfId="2394" xr:uid="{00000000-0005-0000-0000-000067080000}"/>
    <cellStyle name="Percent 8" xfId="2172" xr:uid="{00000000-0005-0000-0000-000068080000}"/>
    <cellStyle name="Percent 9" xfId="2173" xr:uid="{00000000-0005-0000-0000-000069080000}"/>
    <cellStyle name="Percent_공통가설_서희(080929)" xfId="1398" xr:uid="{00000000-0005-0000-0000-00006A080000}"/>
    <cellStyle name="RevList" xfId="1399" xr:uid="{00000000-0005-0000-0000-00006B080000}"/>
    <cellStyle name="Standard_laroux" xfId="1400" xr:uid="{00000000-0005-0000-0000-00006C080000}"/>
    <cellStyle name="subhead" xfId="1401" xr:uid="{00000000-0005-0000-0000-00006D080000}"/>
    <cellStyle name="Subtotal" xfId="1402" xr:uid="{00000000-0005-0000-0000-00006E080000}"/>
    <cellStyle name="W?rung [0]_laroux" xfId="1403" xr:uid="{00000000-0005-0000-0000-00006F080000}"/>
    <cellStyle name="W?rung_laroux" xfId="1404" xr:uid="{00000000-0005-0000-0000-000070080000}"/>
    <cellStyle name="강조색1 2" xfId="2174" xr:uid="{00000000-0005-0000-0000-000071080000}"/>
    <cellStyle name="강조색1 3" xfId="2175" xr:uid="{00000000-0005-0000-0000-000072080000}"/>
    <cellStyle name="강조색1 4" xfId="2176" xr:uid="{00000000-0005-0000-0000-000073080000}"/>
    <cellStyle name="강조색1 5" xfId="2177" xr:uid="{00000000-0005-0000-0000-000074080000}"/>
    <cellStyle name="강조색1 6" xfId="2178" xr:uid="{00000000-0005-0000-0000-000075080000}"/>
    <cellStyle name="강조색2 2" xfId="2179" xr:uid="{00000000-0005-0000-0000-000076080000}"/>
    <cellStyle name="강조색2 3" xfId="2180" xr:uid="{00000000-0005-0000-0000-000077080000}"/>
    <cellStyle name="강조색2 4" xfId="2181" xr:uid="{00000000-0005-0000-0000-000078080000}"/>
    <cellStyle name="강조색2 5" xfId="2182" xr:uid="{00000000-0005-0000-0000-000079080000}"/>
    <cellStyle name="강조색2 6" xfId="2183" xr:uid="{00000000-0005-0000-0000-00007A080000}"/>
    <cellStyle name="강조색3 2" xfId="2184" xr:uid="{00000000-0005-0000-0000-00007B080000}"/>
    <cellStyle name="강조색3 3" xfId="2185" xr:uid="{00000000-0005-0000-0000-00007C080000}"/>
    <cellStyle name="강조색3 4" xfId="2186" xr:uid="{00000000-0005-0000-0000-00007D080000}"/>
    <cellStyle name="강조색3 5" xfId="2187" xr:uid="{00000000-0005-0000-0000-00007E080000}"/>
    <cellStyle name="강조색3 6" xfId="2188" xr:uid="{00000000-0005-0000-0000-00007F080000}"/>
    <cellStyle name="강조색4 2" xfId="2189" xr:uid="{00000000-0005-0000-0000-000080080000}"/>
    <cellStyle name="강조색4 3" xfId="2190" xr:uid="{00000000-0005-0000-0000-000081080000}"/>
    <cellStyle name="강조색4 4" xfId="2191" xr:uid="{00000000-0005-0000-0000-000082080000}"/>
    <cellStyle name="강조색4 5" xfId="2192" xr:uid="{00000000-0005-0000-0000-000083080000}"/>
    <cellStyle name="강조색4 6" xfId="2193" xr:uid="{00000000-0005-0000-0000-000084080000}"/>
    <cellStyle name="강조색5 2" xfId="2194" xr:uid="{00000000-0005-0000-0000-000085080000}"/>
    <cellStyle name="강조색5 3" xfId="2195" xr:uid="{00000000-0005-0000-0000-000086080000}"/>
    <cellStyle name="강조색5 4" xfId="2196" xr:uid="{00000000-0005-0000-0000-000087080000}"/>
    <cellStyle name="강조색5 5" xfId="2197" xr:uid="{00000000-0005-0000-0000-000088080000}"/>
    <cellStyle name="강조색5 6" xfId="2198" xr:uid="{00000000-0005-0000-0000-000089080000}"/>
    <cellStyle name="강조색6 2" xfId="2199" xr:uid="{00000000-0005-0000-0000-00008A080000}"/>
    <cellStyle name="강조색6 3" xfId="2200" xr:uid="{00000000-0005-0000-0000-00008B080000}"/>
    <cellStyle name="강조색6 4" xfId="2201" xr:uid="{00000000-0005-0000-0000-00008C080000}"/>
    <cellStyle name="강조색6 5" xfId="2202" xr:uid="{00000000-0005-0000-0000-00008D080000}"/>
    <cellStyle name="강조색6 6" xfId="2203" xr:uid="{00000000-0005-0000-0000-00008E080000}"/>
    <cellStyle name="경고문 2" xfId="2204" xr:uid="{00000000-0005-0000-0000-00008F080000}"/>
    <cellStyle name="경고문 3" xfId="2205" xr:uid="{00000000-0005-0000-0000-000090080000}"/>
    <cellStyle name="경고문 4" xfId="2206" xr:uid="{00000000-0005-0000-0000-000091080000}"/>
    <cellStyle name="경고문 5" xfId="2207" xr:uid="{00000000-0005-0000-0000-000092080000}"/>
    <cellStyle name="경고문 6" xfId="2208" xr:uid="{00000000-0005-0000-0000-000093080000}"/>
    <cellStyle name="계산 2" xfId="2209" xr:uid="{00000000-0005-0000-0000-000094080000}"/>
    <cellStyle name="계산 3" xfId="2210" xr:uid="{00000000-0005-0000-0000-000095080000}"/>
    <cellStyle name="계산 4" xfId="2211" xr:uid="{00000000-0005-0000-0000-000096080000}"/>
    <cellStyle name="계산 5" xfId="2212" xr:uid="{00000000-0005-0000-0000-000097080000}"/>
    <cellStyle name="계산 6" xfId="2213" xr:uid="{00000000-0005-0000-0000-000098080000}"/>
    <cellStyle name="고정소숫점" xfId="1405" xr:uid="{00000000-0005-0000-0000-000099080000}"/>
    <cellStyle name="고정출력1" xfId="1406" xr:uid="{00000000-0005-0000-0000-00009A080000}"/>
    <cellStyle name="고정출력2" xfId="1407" xr:uid="{00000000-0005-0000-0000-00009B080000}"/>
    <cellStyle name="나쁨 2" xfId="2214" xr:uid="{00000000-0005-0000-0000-00009C080000}"/>
    <cellStyle name="나쁨 3" xfId="2215" xr:uid="{00000000-0005-0000-0000-00009D080000}"/>
    <cellStyle name="나쁨 4" xfId="2216" xr:uid="{00000000-0005-0000-0000-00009E080000}"/>
    <cellStyle name="나쁨 5" xfId="2217" xr:uid="{00000000-0005-0000-0000-00009F080000}"/>
    <cellStyle name="나쁨 6" xfId="2218" xr:uid="{00000000-0005-0000-0000-0000A0080000}"/>
    <cellStyle name="날짜" xfId="1408" xr:uid="{00000000-0005-0000-0000-0000A1080000}"/>
    <cellStyle name="달러" xfId="1409" xr:uid="{00000000-0005-0000-0000-0000A2080000}"/>
    <cellStyle name="똿뗦먛귟 [0.00]_laroux" xfId="1410" xr:uid="{00000000-0005-0000-0000-0000A3080000}"/>
    <cellStyle name="똿뗦먛귟_laroux" xfId="1411" xr:uid="{00000000-0005-0000-0000-0000A4080000}"/>
    <cellStyle name="메모 10" xfId="2219" xr:uid="{00000000-0005-0000-0000-0000A5080000}"/>
    <cellStyle name="메모 10 2" xfId="2220" xr:uid="{00000000-0005-0000-0000-0000A6080000}"/>
    <cellStyle name="메모 10 3" xfId="2221" xr:uid="{00000000-0005-0000-0000-0000A7080000}"/>
    <cellStyle name="메모 10 4" xfId="2222" xr:uid="{00000000-0005-0000-0000-0000A8080000}"/>
    <cellStyle name="메모 11" xfId="2223" xr:uid="{00000000-0005-0000-0000-0000A9080000}"/>
    <cellStyle name="메모 11 2" xfId="2224" xr:uid="{00000000-0005-0000-0000-0000AA080000}"/>
    <cellStyle name="메모 11 3" xfId="2225" xr:uid="{00000000-0005-0000-0000-0000AB080000}"/>
    <cellStyle name="메모 11 4" xfId="2226" xr:uid="{00000000-0005-0000-0000-0000AC080000}"/>
    <cellStyle name="메모 12" xfId="2227" xr:uid="{00000000-0005-0000-0000-0000AD080000}"/>
    <cellStyle name="메모 12 2" xfId="2228" xr:uid="{00000000-0005-0000-0000-0000AE080000}"/>
    <cellStyle name="메모 12 3" xfId="2229" xr:uid="{00000000-0005-0000-0000-0000AF080000}"/>
    <cellStyle name="메모 12 4" xfId="2230" xr:uid="{00000000-0005-0000-0000-0000B0080000}"/>
    <cellStyle name="메모 13" xfId="2231" xr:uid="{00000000-0005-0000-0000-0000B1080000}"/>
    <cellStyle name="메모 13 2" xfId="2232" xr:uid="{00000000-0005-0000-0000-0000B2080000}"/>
    <cellStyle name="메모 13 3" xfId="2233" xr:uid="{00000000-0005-0000-0000-0000B3080000}"/>
    <cellStyle name="메모 13 4" xfId="2234" xr:uid="{00000000-0005-0000-0000-0000B4080000}"/>
    <cellStyle name="메모 14" xfId="2235" xr:uid="{00000000-0005-0000-0000-0000B5080000}"/>
    <cellStyle name="메모 14 2" xfId="2236" xr:uid="{00000000-0005-0000-0000-0000B6080000}"/>
    <cellStyle name="메모 14 3" xfId="2237" xr:uid="{00000000-0005-0000-0000-0000B7080000}"/>
    <cellStyle name="메모 14 4" xfId="2238" xr:uid="{00000000-0005-0000-0000-0000B8080000}"/>
    <cellStyle name="메모 15" xfId="2239" xr:uid="{00000000-0005-0000-0000-0000B9080000}"/>
    <cellStyle name="메모 15 2" xfId="2240" xr:uid="{00000000-0005-0000-0000-0000BA080000}"/>
    <cellStyle name="메모 15 3" xfId="2241" xr:uid="{00000000-0005-0000-0000-0000BB080000}"/>
    <cellStyle name="메모 15 4" xfId="2242" xr:uid="{00000000-0005-0000-0000-0000BC080000}"/>
    <cellStyle name="메모 16" xfId="2243" xr:uid="{00000000-0005-0000-0000-0000BD080000}"/>
    <cellStyle name="메모 17" xfId="2244" xr:uid="{00000000-0005-0000-0000-0000BE080000}"/>
    <cellStyle name="메모 18" xfId="2245" xr:uid="{00000000-0005-0000-0000-0000BF080000}"/>
    <cellStyle name="메모 19" xfId="2246" xr:uid="{00000000-0005-0000-0000-0000C0080000}"/>
    <cellStyle name="메모 2" xfId="2247" xr:uid="{00000000-0005-0000-0000-0000C1080000}"/>
    <cellStyle name="메모 3" xfId="2248" xr:uid="{00000000-0005-0000-0000-0000C2080000}"/>
    <cellStyle name="메모 4" xfId="2249" xr:uid="{00000000-0005-0000-0000-0000C3080000}"/>
    <cellStyle name="메모 5" xfId="2250" xr:uid="{00000000-0005-0000-0000-0000C4080000}"/>
    <cellStyle name="메모 6" xfId="2251" xr:uid="{00000000-0005-0000-0000-0000C5080000}"/>
    <cellStyle name="메모 6 2" xfId="2252" xr:uid="{00000000-0005-0000-0000-0000C6080000}"/>
    <cellStyle name="메모 6 3" xfId="2253" xr:uid="{00000000-0005-0000-0000-0000C7080000}"/>
    <cellStyle name="메모 6 4" xfId="2254" xr:uid="{00000000-0005-0000-0000-0000C8080000}"/>
    <cellStyle name="메모 7" xfId="2255" xr:uid="{00000000-0005-0000-0000-0000C9080000}"/>
    <cellStyle name="메모 7 2" xfId="2256" xr:uid="{00000000-0005-0000-0000-0000CA080000}"/>
    <cellStyle name="메모 7 3" xfId="2257" xr:uid="{00000000-0005-0000-0000-0000CB080000}"/>
    <cellStyle name="메모 7 4" xfId="2258" xr:uid="{00000000-0005-0000-0000-0000CC080000}"/>
    <cellStyle name="메모 8" xfId="2259" xr:uid="{00000000-0005-0000-0000-0000CD080000}"/>
    <cellStyle name="메모 8 2" xfId="2260" xr:uid="{00000000-0005-0000-0000-0000CE080000}"/>
    <cellStyle name="메모 8 3" xfId="2261" xr:uid="{00000000-0005-0000-0000-0000CF080000}"/>
    <cellStyle name="메모 8 4" xfId="2262" xr:uid="{00000000-0005-0000-0000-0000D0080000}"/>
    <cellStyle name="메모 9" xfId="2263" xr:uid="{00000000-0005-0000-0000-0000D1080000}"/>
    <cellStyle name="메모 9 2" xfId="2264" xr:uid="{00000000-0005-0000-0000-0000D2080000}"/>
    <cellStyle name="메모 9 3" xfId="2265" xr:uid="{00000000-0005-0000-0000-0000D3080000}"/>
    <cellStyle name="메모 9 4" xfId="2266" xr:uid="{00000000-0005-0000-0000-0000D4080000}"/>
    <cellStyle name="믅됞 [0.00]_laroux" xfId="1412" xr:uid="{00000000-0005-0000-0000-0000D5080000}"/>
    <cellStyle name="믅됞_laroux" xfId="1413" xr:uid="{00000000-0005-0000-0000-0000D6080000}"/>
    <cellStyle name="백분율 2" xfId="2392" xr:uid="{00000000-0005-0000-0000-0000D8080000}"/>
    <cellStyle name="백분율 3" xfId="2267" xr:uid="{00000000-0005-0000-0000-0000D9080000}"/>
    <cellStyle name="보통 2" xfId="2268" xr:uid="{00000000-0005-0000-0000-0000DA080000}"/>
    <cellStyle name="보통 3" xfId="2269" xr:uid="{00000000-0005-0000-0000-0000DB080000}"/>
    <cellStyle name="보통 4" xfId="2270" xr:uid="{00000000-0005-0000-0000-0000DC080000}"/>
    <cellStyle name="보통 5" xfId="2271" xr:uid="{00000000-0005-0000-0000-0000DD080000}"/>
    <cellStyle name="보통 6" xfId="2272" xr:uid="{00000000-0005-0000-0000-0000DE080000}"/>
    <cellStyle name="뷭?_BOOKSHIP" xfId="1414" xr:uid="{00000000-0005-0000-0000-0000DF080000}"/>
    <cellStyle name="빨강" xfId="1415" xr:uid="{00000000-0005-0000-0000-0000E0080000}"/>
    <cellStyle name="설명 텍스트 2" xfId="2273" xr:uid="{00000000-0005-0000-0000-0000E1080000}"/>
    <cellStyle name="설명 텍스트 3" xfId="2274" xr:uid="{00000000-0005-0000-0000-0000E2080000}"/>
    <cellStyle name="설명 텍스트 4" xfId="2275" xr:uid="{00000000-0005-0000-0000-0000E3080000}"/>
    <cellStyle name="설명 텍스트 5" xfId="2276" xr:uid="{00000000-0005-0000-0000-0000E4080000}"/>
    <cellStyle name="설명 텍스트 6" xfId="2277" xr:uid="{00000000-0005-0000-0000-0000E5080000}"/>
    <cellStyle name="셀 확인 2" xfId="2278" xr:uid="{00000000-0005-0000-0000-0000E6080000}"/>
    <cellStyle name="셀 확인 3" xfId="2279" xr:uid="{00000000-0005-0000-0000-0000E7080000}"/>
    <cellStyle name="셀 확인 4" xfId="2280" xr:uid="{00000000-0005-0000-0000-0000E8080000}"/>
    <cellStyle name="셀 확인 5" xfId="2281" xr:uid="{00000000-0005-0000-0000-0000E9080000}"/>
    <cellStyle name="셀 확인 6" xfId="2282" xr:uid="{00000000-0005-0000-0000-0000EA080000}"/>
    <cellStyle name="숫자(R)" xfId="1416" xr:uid="{00000000-0005-0000-0000-0000EB080000}"/>
    <cellStyle name="쉼표 [0]" xfId="1417" builtinId="6"/>
    <cellStyle name="쉼표 [0] 10" xfId="2283" xr:uid="{00000000-0005-0000-0000-0000ED080000}"/>
    <cellStyle name="쉼표 [0] 10 2" xfId="2284" xr:uid="{00000000-0005-0000-0000-0000EE080000}"/>
    <cellStyle name="쉼표 [0] 11" xfId="2285" xr:uid="{00000000-0005-0000-0000-0000EF080000}"/>
    <cellStyle name="쉼표 [0] 12" xfId="2286" xr:uid="{00000000-0005-0000-0000-0000F0080000}"/>
    <cellStyle name="쉼표 [0] 13" xfId="2287" xr:uid="{00000000-0005-0000-0000-0000F1080000}"/>
    <cellStyle name="쉼표 [0] 14" xfId="2288" xr:uid="{00000000-0005-0000-0000-0000F2080000}"/>
    <cellStyle name="쉼표 [0] 15" xfId="2289" xr:uid="{00000000-0005-0000-0000-0000F3080000}"/>
    <cellStyle name="쉼표 [0] 2" xfId="1418" xr:uid="{00000000-0005-0000-0000-0000F4080000}"/>
    <cellStyle name="쉼표 [0] 2 2" xfId="2290" xr:uid="{00000000-0005-0000-0000-0000F5080000}"/>
    <cellStyle name="쉼표 [0] 2 3" xfId="2291" xr:uid="{00000000-0005-0000-0000-0000F6080000}"/>
    <cellStyle name="쉼표 [0] 2 4" xfId="2292" xr:uid="{00000000-0005-0000-0000-0000F7080000}"/>
    <cellStyle name="쉼표 [0] 2 5" xfId="2293" xr:uid="{00000000-0005-0000-0000-0000F8080000}"/>
    <cellStyle name="쉼표 [0] 3" xfId="2294" xr:uid="{00000000-0005-0000-0000-0000F9080000}"/>
    <cellStyle name="쉼표 [0] 4" xfId="2295" xr:uid="{00000000-0005-0000-0000-0000FA080000}"/>
    <cellStyle name="쉼표 [0] 5" xfId="2296" xr:uid="{00000000-0005-0000-0000-0000FB080000}"/>
    <cellStyle name="쉼표 [0] 6" xfId="2297" xr:uid="{00000000-0005-0000-0000-0000FC080000}"/>
    <cellStyle name="쉼표 [0] 7" xfId="2298" xr:uid="{00000000-0005-0000-0000-0000FD080000}"/>
    <cellStyle name="쉼표 [0] 8" xfId="2299" xr:uid="{00000000-0005-0000-0000-0000FE080000}"/>
    <cellStyle name="쉼표 [0] 9" xfId="2300" xr:uid="{00000000-0005-0000-0000-0000FF080000}"/>
    <cellStyle name="스타일 1" xfId="1419" xr:uid="{00000000-0005-0000-0000-000000090000}"/>
    <cellStyle name="스타일 1 2" xfId="2301" xr:uid="{00000000-0005-0000-0000-000001090000}"/>
    <cellStyle name="스타일 1 2 2" xfId="2302" xr:uid="{00000000-0005-0000-0000-000002090000}"/>
    <cellStyle name="스타일 1 3" xfId="2303" xr:uid="{00000000-0005-0000-0000-000003090000}"/>
    <cellStyle name="스타일 1 3 2" xfId="2304" xr:uid="{00000000-0005-0000-0000-000004090000}"/>
    <cellStyle name="스타일 2" xfId="1420" xr:uid="{00000000-0005-0000-0000-000005090000}"/>
    <cellStyle name="스타일 3" xfId="1421" xr:uid="{00000000-0005-0000-0000-000006090000}"/>
    <cellStyle name="스타일 4" xfId="1422" xr:uid="{00000000-0005-0000-0000-000007090000}"/>
    <cellStyle name="스타일 5" xfId="1423" xr:uid="{00000000-0005-0000-0000-000008090000}"/>
    <cellStyle name="스타일 6" xfId="1424" xr:uid="{00000000-0005-0000-0000-000009090000}"/>
    <cellStyle name="스타일 7" xfId="1425" xr:uid="{00000000-0005-0000-0000-00000A090000}"/>
    <cellStyle name="스타일 8" xfId="1426" xr:uid="{00000000-0005-0000-0000-00000B090000}"/>
    <cellStyle name="연결된 셀 2" xfId="2305" xr:uid="{00000000-0005-0000-0000-00000C090000}"/>
    <cellStyle name="연결된 셀 3" xfId="2306" xr:uid="{00000000-0005-0000-0000-00000D090000}"/>
    <cellStyle name="연결된 셀 4" xfId="2307" xr:uid="{00000000-0005-0000-0000-00000E090000}"/>
    <cellStyle name="연결된 셀 5" xfId="2308" xr:uid="{00000000-0005-0000-0000-00000F090000}"/>
    <cellStyle name="연결된 셀 6" xfId="2309" xr:uid="{00000000-0005-0000-0000-000010090000}"/>
    <cellStyle name="열어 본 하이퍼링크 2" xfId="2310" xr:uid="{00000000-0005-0000-0000-000011090000}"/>
    <cellStyle name="요약 2" xfId="2311" xr:uid="{00000000-0005-0000-0000-000012090000}"/>
    <cellStyle name="요약 3" xfId="2312" xr:uid="{00000000-0005-0000-0000-000013090000}"/>
    <cellStyle name="요약 4" xfId="2313" xr:uid="{00000000-0005-0000-0000-000014090000}"/>
    <cellStyle name="요약 5" xfId="2314" xr:uid="{00000000-0005-0000-0000-000015090000}"/>
    <cellStyle name="요약 6" xfId="2315" xr:uid="{00000000-0005-0000-0000-000016090000}"/>
    <cellStyle name="입력 2" xfId="2316" xr:uid="{00000000-0005-0000-0000-000017090000}"/>
    <cellStyle name="입력 3" xfId="2317" xr:uid="{00000000-0005-0000-0000-000018090000}"/>
    <cellStyle name="입력 4" xfId="2318" xr:uid="{00000000-0005-0000-0000-000019090000}"/>
    <cellStyle name="입력 5" xfId="2319" xr:uid="{00000000-0005-0000-0000-00001A090000}"/>
    <cellStyle name="입력 6" xfId="2320" xr:uid="{00000000-0005-0000-0000-00001B090000}"/>
    <cellStyle name="자리수" xfId="1427" xr:uid="{00000000-0005-0000-0000-00001C090000}"/>
    <cellStyle name="자리수0" xfId="1428" xr:uid="{00000000-0005-0000-0000-00001D090000}"/>
    <cellStyle name="제목 1 2" xfId="2321" xr:uid="{00000000-0005-0000-0000-00001E090000}"/>
    <cellStyle name="제목 1 3" xfId="2322" xr:uid="{00000000-0005-0000-0000-00001F090000}"/>
    <cellStyle name="제목 1 4" xfId="2323" xr:uid="{00000000-0005-0000-0000-000020090000}"/>
    <cellStyle name="제목 1 5" xfId="2324" xr:uid="{00000000-0005-0000-0000-000021090000}"/>
    <cellStyle name="제목 1 6" xfId="2325" xr:uid="{00000000-0005-0000-0000-000022090000}"/>
    <cellStyle name="제목 2 2" xfId="2326" xr:uid="{00000000-0005-0000-0000-000023090000}"/>
    <cellStyle name="제목 2 3" xfId="2327" xr:uid="{00000000-0005-0000-0000-000024090000}"/>
    <cellStyle name="제목 2 4" xfId="2328" xr:uid="{00000000-0005-0000-0000-000025090000}"/>
    <cellStyle name="제목 2 5" xfId="2329" xr:uid="{00000000-0005-0000-0000-000026090000}"/>
    <cellStyle name="제목 2 6" xfId="2330" xr:uid="{00000000-0005-0000-0000-000027090000}"/>
    <cellStyle name="제목 3 2" xfId="2331" xr:uid="{00000000-0005-0000-0000-000028090000}"/>
    <cellStyle name="제목 3 3" xfId="2332" xr:uid="{00000000-0005-0000-0000-000029090000}"/>
    <cellStyle name="제목 3 4" xfId="2333" xr:uid="{00000000-0005-0000-0000-00002A090000}"/>
    <cellStyle name="제목 3 5" xfId="2334" xr:uid="{00000000-0005-0000-0000-00002B090000}"/>
    <cellStyle name="제목 3 6" xfId="2335" xr:uid="{00000000-0005-0000-0000-00002C090000}"/>
    <cellStyle name="제목 4 2" xfId="2336" xr:uid="{00000000-0005-0000-0000-00002D090000}"/>
    <cellStyle name="제목 4 3" xfId="2337" xr:uid="{00000000-0005-0000-0000-00002E090000}"/>
    <cellStyle name="제목 4 4" xfId="2338" xr:uid="{00000000-0005-0000-0000-00002F090000}"/>
    <cellStyle name="제목 4 5" xfId="2339" xr:uid="{00000000-0005-0000-0000-000030090000}"/>
    <cellStyle name="제목 4 6" xfId="2340" xr:uid="{00000000-0005-0000-0000-000031090000}"/>
    <cellStyle name="제목 5" xfId="2341" xr:uid="{00000000-0005-0000-0000-000032090000}"/>
    <cellStyle name="제목 6" xfId="2342" xr:uid="{00000000-0005-0000-0000-000033090000}"/>
    <cellStyle name="제목 7" xfId="2343" xr:uid="{00000000-0005-0000-0000-000034090000}"/>
    <cellStyle name="제목 8" xfId="2344" xr:uid="{00000000-0005-0000-0000-000035090000}"/>
    <cellStyle name="제목 9" xfId="2345" xr:uid="{00000000-0005-0000-0000-000036090000}"/>
    <cellStyle name="좋음 2" xfId="2346" xr:uid="{00000000-0005-0000-0000-000037090000}"/>
    <cellStyle name="좋음 3" xfId="2347" xr:uid="{00000000-0005-0000-0000-000038090000}"/>
    <cellStyle name="좋음 4" xfId="2348" xr:uid="{00000000-0005-0000-0000-000039090000}"/>
    <cellStyle name="좋음 5" xfId="2349" xr:uid="{00000000-0005-0000-0000-00003A090000}"/>
    <cellStyle name="좋음 6" xfId="2350" xr:uid="{00000000-0005-0000-0000-00003B090000}"/>
    <cellStyle name="지정되지 않음" xfId="1429" xr:uid="{00000000-0005-0000-0000-00003C090000}"/>
    <cellStyle name="출력 2" xfId="2351" xr:uid="{00000000-0005-0000-0000-00003D090000}"/>
    <cellStyle name="출력 3" xfId="2352" xr:uid="{00000000-0005-0000-0000-00003E090000}"/>
    <cellStyle name="출력 4" xfId="2353" xr:uid="{00000000-0005-0000-0000-00003F090000}"/>
    <cellStyle name="출력 5" xfId="2354" xr:uid="{00000000-0005-0000-0000-000040090000}"/>
    <cellStyle name="출력 6" xfId="2355" xr:uid="{00000000-0005-0000-0000-000041090000}"/>
    <cellStyle name="콤마 [0]_  종  합  " xfId="1430" xr:uid="{00000000-0005-0000-0000-000042090000}"/>
    <cellStyle name="콤마[0]" xfId="1431" xr:uid="{00000000-0005-0000-0000-000043090000}"/>
    <cellStyle name="콤마_  종  합  " xfId="1432" xr:uid="{00000000-0005-0000-0000-000044090000}"/>
    <cellStyle name="퍼센트" xfId="1433" xr:uid="{00000000-0005-0000-0000-000045090000}"/>
    <cellStyle name="표준" xfId="0" builtinId="0"/>
    <cellStyle name="표준 2" xfId="1434" xr:uid="{00000000-0005-0000-0000-000047090000}"/>
    <cellStyle name="표준 2 10" xfId="2356" xr:uid="{00000000-0005-0000-0000-000048090000}"/>
    <cellStyle name="표준 2 11" xfId="2357" xr:uid="{00000000-0005-0000-0000-000049090000}"/>
    <cellStyle name="표준 2 12" xfId="2358" xr:uid="{00000000-0005-0000-0000-00004A090000}"/>
    <cellStyle name="표준 2 13" xfId="2359" xr:uid="{00000000-0005-0000-0000-00004B090000}"/>
    <cellStyle name="표준 2 14" xfId="2360" xr:uid="{00000000-0005-0000-0000-00004C090000}"/>
    <cellStyle name="표준 2 15" xfId="2361" xr:uid="{00000000-0005-0000-0000-00004D090000}"/>
    <cellStyle name="표준 2 2" xfId="2362" xr:uid="{00000000-0005-0000-0000-00004E090000}"/>
    <cellStyle name="표준 2 3" xfId="2363" xr:uid="{00000000-0005-0000-0000-00004F090000}"/>
    <cellStyle name="표준 2 4" xfId="2364" xr:uid="{00000000-0005-0000-0000-000050090000}"/>
    <cellStyle name="표준 2 5" xfId="2365" xr:uid="{00000000-0005-0000-0000-000051090000}"/>
    <cellStyle name="표준 2 6" xfId="2366" xr:uid="{00000000-0005-0000-0000-000052090000}"/>
    <cellStyle name="표준 2 7" xfId="2367" xr:uid="{00000000-0005-0000-0000-000053090000}"/>
    <cellStyle name="표준 2 8" xfId="2368" xr:uid="{00000000-0005-0000-0000-000054090000}"/>
    <cellStyle name="표준 2 9" xfId="2369" xr:uid="{00000000-0005-0000-0000-000055090000}"/>
    <cellStyle name="표준 2_부속자재 물량산출-강남 i-park 2차-만드는중" xfId="2393" xr:uid="{00000000-0005-0000-0000-000056090000}"/>
    <cellStyle name="표준 3" xfId="2370" xr:uid="{00000000-0005-0000-0000-000057090000}"/>
    <cellStyle name="표준 3 2" xfId="2371" xr:uid="{00000000-0005-0000-0000-000058090000}"/>
    <cellStyle name="표준 4" xfId="2372" xr:uid="{00000000-0005-0000-0000-000059090000}"/>
    <cellStyle name="標準_Akia(F）-8" xfId="1435" xr:uid="{00000000-0005-0000-0000-00005A090000}"/>
    <cellStyle name="하중구분" xfId="2373" xr:uid="{00000000-0005-0000-0000-00005B090000}"/>
    <cellStyle name="합산" xfId="1436" xr:uid="{00000000-0005-0000-0000-00005C090000}"/>
    <cellStyle name="화폐기호" xfId="1437" xr:uid="{00000000-0005-0000-0000-00005D090000}"/>
    <cellStyle name="화폐기호0" xfId="1438" xr:uid="{00000000-0005-0000-0000-00005E090000}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33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0</xdr:row>
          <xdr:rowOff>106680</xdr:rowOff>
        </xdr:from>
        <xdr:to>
          <xdr:col>9</xdr:col>
          <xdr:colOff>678180</xdr:colOff>
          <xdr:row>3</xdr:row>
          <xdr:rowOff>83820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동일 사이즈 합산&amp;정렬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35144</xdr:colOff>
          <xdr:row>0</xdr:row>
          <xdr:rowOff>14545</xdr:rowOff>
        </xdr:from>
        <xdr:to>
          <xdr:col>10</xdr:col>
          <xdr:colOff>16094</xdr:colOff>
          <xdr:row>4</xdr:row>
          <xdr:rowOff>6569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A$234:$AE$235" spid="_x0000_s22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792592" y="14545"/>
              <a:ext cx="3317985" cy="83285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21</xdr:col>
      <xdr:colOff>914400</xdr:colOff>
      <xdr:row>226</xdr:row>
      <xdr:rowOff>133350</xdr:rowOff>
    </xdr:from>
    <xdr:to>
      <xdr:col>27</xdr:col>
      <xdr:colOff>295275</xdr:colOff>
      <xdr:row>231</xdr:row>
      <xdr:rowOff>38100</xdr:rowOff>
    </xdr:to>
    <xdr:sp macro="" textlink="">
      <xdr:nvSpPr>
        <xdr:cNvPr id="22532" name="AutoShape 4">
          <a:extLst>
            <a:ext uri="{FF2B5EF4-FFF2-40B4-BE49-F238E27FC236}">
              <a16:creationId xmlns:a16="http://schemas.microsoft.com/office/drawing/2014/main" id="{00000000-0008-0000-0100-000004580000}"/>
            </a:ext>
          </a:extLst>
        </xdr:cNvPr>
        <xdr:cNvSpPr>
          <a:spLocks noChangeAspect="1" noChangeArrowheads="1"/>
        </xdr:cNvSpPr>
      </xdr:nvSpPr>
      <xdr:spPr bwMode="auto">
        <a:xfrm>
          <a:off x="15097125" y="39490650"/>
          <a:ext cx="349567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44608;&#48373;&#49345;\&#48148;&#53461;%20&#54868;&#47732;\My%20Documents\&#44204;%20%20%20%20&#51201;\&#54869;&#50557;&#4943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대비"/>
      <sheetName val="#REF"/>
      <sheetName val="예가표"/>
      <sheetName val="확약서"/>
      <sheetName val="제6-2공구"/>
      <sheetName val="투안점수"/>
      <sheetName val="자재및인력 (투안)"/>
      <sheetName val="내역서"/>
      <sheetName val="현장관리계획서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토목"/>
      <sheetName val="연결임시"/>
      <sheetName val="수목일위"/>
      <sheetName val="식재"/>
      <sheetName val="유지관리"/>
      <sheetName val="기계(소방기계)"/>
      <sheetName val="기계(기계설비)"/>
      <sheetName val="건축(부대)"/>
      <sheetName val="시설물"/>
      <sheetName val="복갑"/>
      <sheetName val="원가"/>
      <sheetName val="철콘"/>
      <sheetName val="일위대가"/>
      <sheetName val="단가결정"/>
      <sheetName val="원가서"/>
      <sheetName val="적점"/>
      <sheetName val="건축(경비실)"/>
      <sheetName val="견적내역"/>
      <sheetName val="가설공사"/>
      <sheetName val="교량전기"/>
      <sheetName val="수목데이타"/>
      <sheetName val="공비입력"/>
      <sheetName val="실행대비"/>
      <sheetName val="참고"/>
      <sheetName val="총괄-1"/>
      <sheetName val="내역"/>
      <sheetName val="설계가추정 (2)"/>
      <sheetName val="Macro1"/>
      <sheetName val="중기조종사 단위단가"/>
      <sheetName val="기준액"/>
      <sheetName val="기계(소방전기)"/>
      <sheetName val="96노임기준"/>
      <sheetName val="노무비단가"/>
      <sheetName val="SG"/>
      <sheetName val="덕소내역"/>
      <sheetName val="관급총괄"/>
      <sheetName val="자재"/>
      <sheetName val="내역아"/>
      <sheetName val="4차원가계산서"/>
      <sheetName val="시설물일위"/>
      <sheetName val="식재출력용"/>
      <sheetName val="원가계산서"/>
      <sheetName val="토공"/>
      <sheetName val="건축(본관분)"/>
      <sheetName val="부대tu"/>
      <sheetName val="노임"/>
      <sheetName val="단가조사"/>
      <sheetName val="울타리"/>
      <sheetName val="토목내역"/>
      <sheetName val="식재인부"/>
      <sheetName val="산출내역서"/>
      <sheetName val="단가"/>
      <sheetName val="계수시트"/>
      <sheetName val="결재원가"/>
      <sheetName val="견적"/>
      <sheetName val="신표지1"/>
      <sheetName val="현장경비"/>
      <sheetName val="부흥(실행)"/>
      <sheetName val="복을"/>
      <sheetName val="백호우계수"/>
      <sheetName val="마감사양"/>
      <sheetName val="MAT_N048"/>
      <sheetName val="01"/>
      <sheetName val="252K444"/>
      <sheetName val="방배동내역(리라)"/>
      <sheetName val="공통가설"/>
      <sheetName val="건축공사집계표"/>
      <sheetName val="방배동내역 (총괄)"/>
      <sheetName val="부대공사총괄"/>
      <sheetName val="공사비예산서(토목분)"/>
      <sheetName val="일위대가(건축)"/>
      <sheetName val="중동상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203"/>
  <sheetViews>
    <sheetView showZeros="0" tabSelected="1" zoomScale="115" zoomScaleNormal="115" zoomScaleSheetLayoutView="100" workbookViewId="0">
      <pane ySplit="14" topLeftCell="A15" activePane="bottomLeft" state="frozen"/>
      <selection pane="bottomLeft" activeCell="R15" sqref="R15:R17"/>
    </sheetView>
  </sheetViews>
  <sheetFormatPr defaultColWidth="8.8984375" defaultRowHeight="17.399999999999999"/>
  <cols>
    <col min="1" max="1" width="18.796875" style="54" customWidth="1"/>
    <col min="2" max="2" width="4.796875" style="54" customWidth="1"/>
    <col min="3" max="3" width="7.796875" style="54" customWidth="1"/>
    <col min="4" max="4" width="5.796875" style="54" customWidth="1"/>
    <col min="5" max="5" width="6.796875" style="54" customWidth="1"/>
    <col min="6" max="6" width="8.796875" style="54" customWidth="1"/>
    <col min="7" max="8" width="5.796875" style="54" customWidth="1"/>
    <col min="9" max="9" width="7.796875" style="54" customWidth="1"/>
    <col min="10" max="10" width="10.796875" style="71" customWidth="1"/>
    <col min="11" max="16" width="5.796875" style="71" customWidth="1"/>
    <col min="17" max="17" width="10.796875" style="72" customWidth="1"/>
    <col min="18" max="18" width="10.796875" style="73" customWidth="1"/>
    <col min="19" max="19" width="9.19921875" style="54" customWidth="1"/>
    <col min="20" max="20" width="9.3984375" style="54" customWidth="1"/>
    <col min="21" max="21" width="7.796875" style="54" bestFit="1" customWidth="1"/>
    <col min="22" max="22" width="11.59765625" style="51" bestFit="1" customWidth="1"/>
    <col min="23" max="23" width="11.59765625" style="51" customWidth="1"/>
    <col min="24" max="24" width="7.59765625" style="51" bestFit="1" customWidth="1"/>
    <col min="25" max="25" width="5.296875" style="51" bestFit="1" customWidth="1"/>
    <col min="26" max="26" width="6.8984375" style="51" bestFit="1" customWidth="1"/>
    <col min="27" max="28" width="5.09765625" style="51" bestFit="1" customWidth="1"/>
    <col min="29" max="29" width="6.8984375" style="51" bestFit="1" customWidth="1"/>
    <col min="30" max="30" width="4.8984375" style="51" bestFit="1" customWidth="1"/>
    <col min="31" max="33" width="8.69921875" style="51" bestFit="1" customWidth="1"/>
    <col min="34" max="36" width="7.796875" style="51" customWidth="1"/>
    <col min="37" max="16384" width="8.8984375" style="51"/>
  </cols>
  <sheetData>
    <row r="1" spans="1:25" ht="16.5" customHeight="1">
      <c r="A1" s="118" t="str">
        <f>IF(LEFT(E15,1)="M", "MEGA DECK 생산의뢰서", IF(LEFT(E15,1)="G", "GIGA DECK 생산의뢰서", IF(LEFT(E15,1)="T", "TERA DECK 생산의뢰서", "생산의뢰서")))</f>
        <v>MEGA DECK 생산의뢰서</v>
      </c>
      <c r="B1" s="119"/>
      <c r="C1" s="119"/>
      <c r="D1" s="119"/>
      <c r="E1" s="119"/>
      <c r="F1" s="119"/>
      <c r="G1" s="119"/>
      <c r="H1" s="119"/>
      <c r="I1" s="119"/>
      <c r="J1" s="119"/>
      <c r="K1" s="122" t="s">
        <v>21</v>
      </c>
      <c r="L1" s="123"/>
      <c r="M1" s="123"/>
      <c r="N1" s="149" t="s">
        <v>56</v>
      </c>
      <c r="O1" s="149"/>
      <c r="P1" s="149"/>
      <c r="Q1" s="78" t="s">
        <v>35</v>
      </c>
      <c r="R1" s="53" t="s">
        <v>36</v>
      </c>
      <c r="S1" s="52" t="s">
        <v>37</v>
      </c>
      <c r="T1" s="52" t="s">
        <v>38</v>
      </c>
    </row>
    <row r="2" spans="1:25" ht="16.5" customHeight="1">
      <c r="A2" s="118"/>
      <c r="B2" s="119"/>
      <c r="C2" s="119"/>
      <c r="D2" s="119"/>
      <c r="E2" s="119"/>
      <c r="F2" s="119"/>
      <c r="G2" s="119"/>
      <c r="H2" s="119"/>
      <c r="I2" s="119"/>
      <c r="J2" s="119"/>
      <c r="K2" s="124" t="s">
        <v>41</v>
      </c>
      <c r="L2" s="89" t="s">
        <v>29</v>
      </c>
      <c r="M2" s="90" t="s">
        <v>48</v>
      </c>
      <c r="N2" s="91" t="s">
        <v>57</v>
      </c>
      <c r="O2" s="85" t="s">
        <v>58</v>
      </c>
      <c r="P2" s="86" t="s">
        <v>59</v>
      </c>
      <c r="Q2" s="87" t="str">
        <f t="array" ref="Q2">IFERROR(INDEX($Q$15:$Q$292, MATCH(0, COUNTIF($Q$1:Q1, $Q$15:$Q$292), 0)), "")</f>
        <v>MVS10085-110</v>
      </c>
      <c r="R2" s="55">
        <f t="shared" ref="R2:R7" si="0">SUMIF($Q$15:$Q$202,Q2,$R$15:$R$202)</f>
        <v>404.16599999999994</v>
      </c>
      <c r="S2" s="56">
        <f t="shared" ref="S2:S7" si="1">SUMIF($Q$15:$Q$202,Q2,$P$15:$P$202)</f>
        <v>308</v>
      </c>
      <c r="T2" s="57"/>
    </row>
    <row r="3" spans="1:25" ht="16.5" customHeight="1">
      <c r="A3" s="118"/>
      <c r="B3" s="119"/>
      <c r="C3" s="119"/>
      <c r="D3" s="119"/>
      <c r="E3" s="119"/>
      <c r="F3" s="119"/>
      <c r="G3" s="119"/>
      <c r="H3" s="119"/>
      <c r="I3" s="119"/>
      <c r="J3" s="119"/>
      <c r="K3" s="125"/>
      <c r="L3" s="74" t="s">
        <v>30</v>
      </c>
      <c r="M3" s="104" t="s">
        <v>20</v>
      </c>
      <c r="N3" s="105" t="s">
        <v>22</v>
      </c>
      <c r="O3" s="83" t="s">
        <v>60</v>
      </c>
      <c r="P3" s="82" t="s">
        <v>61</v>
      </c>
      <c r="Q3" s="79" t="str">
        <f t="array" ref="Q3">IFERROR(INDEX($Q$15:$Q$292, MATCH(0, COUNTIF($Q$1:Q2, $Q$15:$Q$292), 0)), "")</f>
        <v>MVS13105-110</v>
      </c>
      <c r="R3" s="58">
        <f t="shared" si="0"/>
        <v>158.16</v>
      </c>
      <c r="S3" s="59">
        <f t="shared" si="1"/>
        <v>80</v>
      </c>
      <c r="T3" s="60"/>
    </row>
    <row r="4" spans="1:25" ht="16.5" customHeight="1">
      <c r="A4" s="120"/>
      <c r="B4" s="121"/>
      <c r="C4" s="121"/>
      <c r="D4" s="121"/>
      <c r="E4" s="121"/>
      <c r="F4" s="121"/>
      <c r="G4" s="121"/>
      <c r="H4" s="121"/>
      <c r="I4" s="121"/>
      <c r="J4" s="121"/>
      <c r="K4" s="126" t="s">
        <v>42</v>
      </c>
      <c r="L4" s="74" t="s">
        <v>29</v>
      </c>
      <c r="M4" s="76" t="s">
        <v>16</v>
      </c>
      <c r="N4" s="83" t="s">
        <v>62</v>
      </c>
      <c r="O4" s="83" t="s">
        <v>63</v>
      </c>
      <c r="P4" s="82" t="s">
        <v>64</v>
      </c>
      <c r="Q4" s="79" t="str">
        <f t="array" ref="Q4">IFERROR(INDEX($Q$15:$Q$292, MATCH(0, COUNTIF($Q$1:Q3, $Q$15:$Q$292), 0)), "")</f>
        <v>MVS13135-110</v>
      </c>
      <c r="R4" s="58">
        <f t="shared" si="0"/>
        <v>17.327999999999999</v>
      </c>
      <c r="S4" s="59">
        <f t="shared" si="1"/>
        <v>8</v>
      </c>
      <c r="T4" s="60"/>
    </row>
    <row r="5" spans="1:25" ht="18" customHeight="1">
      <c r="A5" s="61" t="s">
        <v>26</v>
      </c>
      <c r="B5" s="150" t="s">
        <v>84</v>
      </c>
      <c r="C5" s="151"/>
      <c r="D5" s="151"/>
      <c r="E5" s="152"/>
      <c r="F5" s="132" t="s">
        <v>28</v>
      </c>
      <c r="G5" s="133"/>
      <c r="H5" s="134"/>
      <c r="I5" s="128">
        <v>46105</v>
      </c>
      <c r="J5" s="129"/>
      <c r="K5" s="126"/>
      <c r="L5" s="74" t="s">
        <v>30</v>
      </c>
      <c r="M5" s="76" t="s">
        <v>45</v>
      </c>
      <c r="N5" s="81" t="s">
        <v>65</v>
      </c>
      <c r="O5" s="81" t="s">
        <v>66</v>
      </c>
      <c r="P5" s="82" t="s">
        <v>67</v>
      </c>
      <c r="Q5" s="79" t="str">
        <f t="array" ref="Q5">IFERROR(INDEX($Q$15:$Q$292, MATCH(0, COUNTIF($Q$1:Q4, $Q$15:$Q$292), 0)), "")</f>
        <v/>
      </c>
      <c r="R5" s="58">
        <f t="shared" si="0"/>
        <v>0</v>
      </c>
      <c r="S5" s="59">
        <f t="shared" si="1"/>
        <v>0</v>
      </c>
      <c r="T5" s="60"/>
    </row>
    <row r="6" spans="1:25" ht="18" customHeight="1">
      <c r="A6" s="61" t="s">
        <v>25</v>
      </c>
      <c r="B6" s="150" t="s">
        <v>85</v>
      </c>
      <c r="C6" s="151"/>
      <c r="D6" s="151"/>
      <c r="E6" s="152"/>
      <c r="F6" s="132" t="s">
        <v>27</v>
      </c>
      <c r="G6" s="133"/>
      <c r="H6" s="134"/>
      <c r="I6" s="130" t="s">
        <v>87</v>
      </c>
      <c r="J6" s="131"/>
      <c r="K6" s="126"/>
      <c r="L6" s="74" t="s">
        <v>43</v>
      </c>
      <c r="M6" s="76" t="s">
        <v>46</v>
      </c>
      <c r="N6" s="81" t="s">
        <v>68</v>
      </c>
      <c r="O6" s="81" t="s">
        <v>69</v>
      </c>
      <c r="P6" s="82" t="s">
        <v>70</v>
      </c>
      <c r="Q6" s="79">
        <f t="array" ref="Q6">IFERROR(INDEX($Q$15:$Q$292, MATCH(0, COUNTIF($Q$1:Q5, $Q$15:$Q$292), 0)), "")</f>
        <v>0</v>
      </c>
      <c r="R6" s="58">
        <f t="shared" si="0"/>
        <v>0</v>
      </c>
      <c r="S6" s="59">
        <f t="shared" si="1"/>
        <v>0</v>
      </c>
      <c r="T6" s="60"/>
    </row>
    <row r="7" spans="1:25" ht="18" customHeight="1">
      <c r="A7" s="61" t="s">
        <v>74</v>
      </c>
      <c r="B7" s="150" t="s">
        <v>86</v>
      </c>
      <c r="C7" s="151"/>
      <c r="D7" s="151"/>
      <c r="E7" s="152"/>
      <c r="F7" s="132" t="s">
        <v>52</v>
      </c>
      <c r="G7" s="133"/>
      <c r="H7" s="134"/>
      <c r="I7" s="130" t="s">
        <v>88</v>
      </c>
      <c r="J7" s="131"/>
      <c r="K7" s="127"/>
      <c r="L7" s="75" t="s">
        <v>44</v>
      </c>
      <c r="M7" s="77" t="s">
        <v>47</v>
      </c>
      <c r="N7" s="6" t="s">
        <v>71</v>
      </c>
      <c r="O7" s="6" t="s">
        <v>72</v>
      </c>
      <c r="P7" s="84" t="s">
        <v>73</v>
      </c>
      <c r="Q7" s="80" t="str">
        <f t="array" ref="Q7">IFERROR(INDEX($Q$15:$Q$292, MATCH(0, COUNTIF($Q$1:Q6, $Q$15:$Q$292), 0)), "")</f>
        <v/>
      </c>
      <c r="R7" s="62">
        <f t="shared" si="0"/>
        <v>0</v>
      </c>
      <c r="S7" s="63">
        <f t="shared" si="1"/>
        <v>0</v>
      </c>
      <c r="T7" s="64"/>
    </row>
    <row r="8" spans="1:25" ht="18" customHeight="1">
      <c r="A8" s="61" t="s">
        <v>24</v>
      </c>
      <c r="B8" s="150" t="s">
        <v>114</v>
      </c>
      <c r="C8" s="151"/>
      <c r="D8" s="151"/>
      <c r="E8" s="152"/>
      <c r="F8" s="132" t="s">
        <v>51</v>
      </c>
      <c r="G8" s="133"/>
      <c r="H8" s="134"/>
      <c r="I8" s="130" t="s">
        <v>88</v>
      </c>
      <c r="J8" s="131"/>
      <c r="K8" s="136" t="s">
        <v>40</v>
      </c>
      <c r="L8" s="137"/>
      <c r="M8" s="138"/>
      <c r="N8" s="135">
        <f>SUM(K15:O202)</f>
        <v>396</v>
      </c>
      <c r="O8" s="135"/>
      <c r="P8" s="135"/>
      <c r="Q8" s="65" t="s">
        <v>0</v>
      </c>
      <c r="R8" s="168">
        <f>SUM(R15:R202)</f>
        <v>579.65399999999988</v>
      </c>
      <c r="S8" s="168"/>
      <c r="T8" s="168"/>
    </row>
    <row r="9" spans="1:25" ht="18" customHeight="1">
      <c r="A9" s="153" t="s">
        <v>53</v>
      </c>
      <c r="B9" s="154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5"/>
    </row>
    <row r="10" spans="1:25" ht="18" customHeight="1" thickBot="1">
      <c r="A10" s="156"/>
      <c r="B10" s="157"/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8"/>
    </row>
    <row r="11" spans="1:25" ht="16.5" customHeight="1">
      <c r="A11" s="139" t="s">
        <v>1</v>
      </c>
      <c r="B11" s="143" t="s">
        <v>49</v>
      </c>
      <c r="C11" s="141" t="s">
        <v>50</v>
      </c>
      <c r="D11" s="144" t="s">
        <v>2</v>
      </c>
      <c r="E11" s="145"/>
      <c r="F11" s="145"/>
      <c r="G11" s="145"/>
      <c r="H11" s="145"/>
      <c r="I11" s="146"/>
      <c r="J11" s="147" t="s">
        <v>54</v>
      </c>
      <c r="K11" s="147" t="s">
        <v>32</v>
      </c>
      <c r="L11" s="147" t="s">
        <v>3</v>
      </c>
      <c r="M11" s="147" t="s">
        <v>4</v>
      </c>
      <c r="N11" s="147" t="s">
        <v>5</v>
      </c>
      <c r="O11" s="160" t="s">
        <v>19</v>
      </c>
      <c r="P11" s="162" t="s">
        <v>39</v>
      </c>
      <c r="Q11" s="164" t="s">
        <v>34</v>
      </c>
      <c r="R11" s="166" t="s">
        <v>7</v>
      </c>
      <c r="S11" s="159" t="s">
        <v>6</v>
      </c>
      <c r="T11" s="159"/>
    </row>
    <row r="12" spans="1:25" ht="16.5" customHeight="1">
      <c r="A12" s="140"/>
      <c r="B12" s="142"/>
      <c r="C12" s="142"/>
      <c r="D12" s="50" t="s">
        <v>32</v>
      </c>
      <c r="E12" s="50" t="s">
        <v>23</v>
      </c>
      <c r="F12" s="50" t="s">
        <v>31</v>
      </c>
      <c r="G12" s="50" t="s">
        <v>33</v>
      </c>
      <c r="H12" s="50" t="s">
        <v>8</v>
      </c>
      <c r="I12" s="66" t="s">
        <v>55</v>
      </c>
      <c r="J12" s="148"/>
      <c r="K12" s="148"/>
      <c r="L12" s="148"/>
      <c r="M12" s="148"/>
      <c r="N12" s="148"/>
      <c r="O12" s="161"/>
      <c r="P12" s="163"/>
      <c r="Q12" s="165"/>
      <c r="R12" s="167"/>
      <c r="S12" s="67" t="s">
        <v>9</v>
      </c>
      <c r="T12" s="67" t="s">
        <v>10</v>
      </c>
      <c r="U12" s="68"/>
    </row>
    <row r="13" spans="1:25" s="7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si="2">SUBTOTAL(9,K15:K3315)</f>
        <v>0</v>
      </c>
      <c r="L13" s="16">
        <f t="shared" si="2"/>
        <v>2</v>
      </c>
      <c r="M13" s="16">
        <f t="shared" si="2"/>
        <v>4</v>
      </c>
      <c r="N13" s="16">
        <f t="shared" si="2"/>
        <v>0</v>
      </c>
      <c r="O13" s="16">
        <f t="shared" si="2"/>
        <v>390</v>
      </c>
      <c r="P13" s="16">
        <f t="shared" si="2"/>
        <v>396</v>
      </c>
      <c r="Q13" s="17"/>
      <c r="R13" s="10">
        <f>SUBTOTAL(9,R15:R3315)</f>
        <v>579.65399999999988</v>
      </c>
      <c r="S13" s="18"/>
      <c r="T13" s="18"/>
      <c r="U13" s="69"/>
    </row>
    <row r="14" spans="1:25" s="70" customFormat="1" ht="13.5" customHeight="1">
      <c r="A14" s="19"/>
      <c r="B14" s="20"/>
      <c r="C14" s="20"/>
      <c r="D14" s="20"/>
      <c r="E14" s="20"/>
      <c r="F14" s="20"/>
      <c r="G14" s="20"/>
      <c r="H14" s="20"/>
      <c r="I14" s="20"/>
      <c r="J14" s="21"/>
      <c r="K14" s="22"/>
      <c r="L14" s="22"/>
      <c r="M14" s="22"/>
      <c r="N14" s="22"/>
      <c r="O14" s="22"/>
      <c r="P14" s="22"/>
      <c r="Q14" s="23"/>
      <c r="R14" s="24"/>
      <c r="S14" s="25"/>
      <c r="T14" s="25"/>
      <c r="U14" s="69"/>
    </row>
    <row r="15" spans="1:25" ht="13.5" customHeight="1">
      <c r="A15" s="106" t="s">
        <v>105</v>
      </c>
      <c r="B15" s="196">
        <v>13</v>
      </c>
      <c r="C15" s="108" t="s">
        <v>89</v>
      </c>
      <c r="D15" s="197" t="str">
        <f>IF(A15="","",VLOOKUP($C15,일람표!$A$2:$K$36,11,FALSE))</f>
        <v>A</v>
      </c>
      <c r="E15" s="197" t="str">
        <f>IF(A15="","",VLOOKUP($C15,일람표!$A$2:$J$36,6,FALSE))</f>
        <v>MVS</v>
      </c>
      <c r="F15" s="197" t="str">
        <f>IF(A15="","",RIGHT(VLOOKUP($C15,일람표!$A$1:$H$36,2,FALSE),5))</f>
        <v>10085</v>
      </c>
      <c r="G15" s="198">
        <f>SUMIF(일람표!$A$2:$A$36,C15,일람표!H$2:H$36)</f>
        <v>110</v>
      </c>
      <c r="H15" s="198">
        <f>SUMIF(일람표!$A$2:$A$36,C15,일람표!J$2:J$36)</f>
        <v>30</v>
      </c>
      <c r="I15" s="198">
        <f>SUMIF(일람표!$A$2:$A$36,C15,일람표!E$2:E$36)</f>
        <v>200</v>
      </c>
      <c r="J15" s="199">
        <v>2590</v>
      </c>
      <c r="K15" s="200"/>
      <c r="L15" s="201"/>
      <c r="M15" s="201"/>
      <c r="N15" s="201"/>
      <c r="O15" s="202">
        <v>13</v>
      </c>
      <c r="P15" s="202">
        <f t="shared" ref="P15:P29" si="3">K15+L15+M15+N15+O15</f>
        <v>13</v>
      </c>
      <c r="Q15" s="203" t="str">
        <f t="shared" ref="Q15:Q29" si="4">IF(A15="","",CONCATENATE(E15,F15,"-",G15))</f>
        <v>MVS10085-110</v>
      </c>
      <c r="R15" s="204">
        <f t="shared" ref="R15:R29" si="5">+J15*0.6*(O15+L15+M15+N15)/1000</f>
        <v>20.202000000000002</v>
      </c>
      <c r="S15" s="100"/>
      <c r="T15" s="11"/>
      <c r="U15" s="68"/>
      <c r="V15" s="54"/>
      <c r="W15" s="54"/>
      <c r="X15" s="54"/>
      <c r="Y15" s="54"/>
    </row>
    <row r="16" spans="1:25" ht="13.5" customHeight="1">
      <c r="A16" s="106" t="s">
        <v>105</v>
      </c>
      <c r="B16" s="107">
        <v>6</v>
      </c>
      <c r="C16" s="108" t="s">
        <v>89</v>
      </c>
      <c r="D16" s="109" t="str">
        <f>IF(A16="","",VLOOKUP($C16,일람표!$A$2:$K$36,11,FALSE))</f>
        <v>A</v>
      </c>
      <c r="E16" s="109" t="str">
        <f>IF(A16="","",VLOOKUP($C16,일람표!$A$2:$J$36,6,FALSE))</f>
        <v>MVS</v>
      </c>
      <c r="F16" s="109" t="str">
        <f>IF(A16="","",RIGHT(VLOOKUP($C16,일람표!$A$1:$H$36,2,FALSE),5))</f>
        <v>10085</v>
      </c>
      <c r="G16" s="110">
        <f>SUMIF(일람표!$A$2:$A$36,C16,일람표!H$2:H$36)</f>
        <v>110</v>
      </c>
      <c r="H16" s="110">
        <f>SUMIF(일람표!$A$2:$A$36,C16,일람표!J$2:J$36)</f>
        <v>30</v>
      </c>
      <c r="I16" s="110">
        <f>SUMIF(일람표!$A$2:$A$36,C16,일람표!E$2:E$36)</f>
        <v>200</v>
      </c>
      <c r="J16" s="111">
        <v>2250</v>
      </c>
      <c r="K16" s="112"/>
      <c r="L16" s="113"/>
      <c r="M16" s="113"/>
      <c r="N16" s="113"/>
      <c r="O16" s="114">
        <v>11</v>
      </c>
      <c r="P16" s="115">
        <f t="shared" si="3"/>
        <v>11</v>
      </c>
      <c r="Q16" s="116" t="str">
        <f t="shared" si="4"/>
        <v>MVS10085-110</v>
      </c>
      <c r="R16" s="117">
        <f t="shared" si="5"/>
        <v>14.85</v>
      </c>
      <c r="S16" s="35"/>
      <c r="T16" s="12"/>
      <c r="U16" s="68"/>
      <c r="V16" s="54"/>
      <c r="W16" s="54"/>
      <c r="X16" s="54"/>
      <c r="Y16" s="54"/>
    </row>
    <row r="17" spans="1:25" s="54" customFormat="1" ht="13.5" customHeight="1">
      <c r="A17" s="106" t="s">
        <v>105</v>
      </c>
      <c r="B17" s="107">
        <v>7</v>
      </c>
      <c r="C17" s="107" t="s">
        <v>89</v>
      </c>
      <c r="D17" s="109" t="str">
        <f>IF(A17="","",VLOOKUP($C17,일람표!$A$2:$K$36,11,FALSE))</f>
        <v>A</v>
      </c>
      <c r="E17" s="109" t="str">
        <f>IF(A17="","",VLOOKUP($C17,일람표!$A$2:$J$36,6,FALSE))</f>
        <v>MVS</v>
      </c>
      <c r="F17" s="109" t="str">
        <f>IF(A17="","",RIGHT(VLOOKUP($C17,일람표!$A$1:$H$36,2,FALSE),5))</f>
        <v>10085</v>
      </c>
      <c r="G17" s="110">
        <f>SUMIF(일람표!$A$2:$A$36,C17,일람표!H$2:H$36)</f>
        <v>110</v>
      </c>
      <c r="H17" s="110">
        <f>SUMIF(일람표!$A$2:$A$36,C17,일람표!J$2:J$36)</f>
        <v>30</v>
      </c>
      <c r="I17" s="110">
        <f>SUMIF(일람표!$A$2:$A$36,C17,일람표!E$2:E$36)</f>
        <v>200</v>
      </c>
      <c r="J17" s="111">
        <v>2160</v>
      </c>
      <c r="K17" s="112"/>
      <c r="L17" s="113"/>
      <c r="M17" s="113"/>
      <c r="N17" s="113"/>
      <c r="O17" s="114">
        <v>24</v>
      </c>
      <c r="P17" s="115">
        <f t="shared" si="3"/>
        <v>24</v>
      </c>
      <c r="Q17" s="116" t="str">
        <f t="shared" si="4"/>
        <v>MVS10085-110</v>
      </c>
      <c r="R17" s="117">
        <f t="shared" si="5"/>
        <v>31.103999999999999</v>
      </c>
      <c r="S17" s="35"/>
      <c r="T17" s="12"/>
      <c r="U17" s="68"/>
    </row>
    <row r="18" spans="1:25" s="54" customFormat="1" ht="13.5" customHeight="1">
      <c r="A18" s="183" t="s">
        <v>106</v>
      </c>
      <c r="B18" s="184">
        <v>11</v>
      </c>
      <c r="C18" s="185" t="s">
        <v>89</v>
      </c>
      <c r="D18" s="191" t="str">
        <f>IF(A18="","",VLOOKUP($C18,일람표!$A$2:$K$36,11,FALSE))</f>
        <v>A</v>
      </c>
      <c r="E18" s="191" t="str">
        <f>IF(A18="","",VLOOKUP($C18,일람표!$A$2:$J$36,6,FALSE))</f>
        <v>MVS</v>
      </c>
      <c r="F18" s="191" t="str">
        <f>IF(A18="","",RIGHT(VLOOKUP($C18,일람표!$A$1:$H$36,2,FALSE),5))</f>
        <v>10085</v>
      </c>
      <c r="G18" s="192">
        <f>SUMIF(일람표!$A$2:$A$36,C18,일람표!H$2:H$36)</f>
        <v>110</v>
      </c>
      <c r="H18" s="192">
        <f>SUMIF(일람표!$A$2:$A$36,C18,일람표!J$2:J$36)</f>
        <v>30</v>
      </c>
      <c r="I18" s="192">
        <f>SUMIF(일람표!$A$2:$A$36,C18,일람표!E$2:E$36)</f>
        <v>200</v>
      </c>
      <c r="J18" s="187">
        <v>2160</v>
      </c>
      <c r="K18" s="188"/>
      <c r="L18" s="189"/>
      <c r="M18" s="189"/>
      <c r="N18" s="189"/>
      <c r="O18" s="190">
        <v>52</v>
      </c>
      <c r="P18" s="193">
        <f t="shared" si="3"/>
        <v>52</v>
      </c>
      <c r="Q18" s="194" t="str">
        <f t="shared" si="4"/>
        <v>MVS10085-110</v>
      </c>
      <c r="R18" s="195">
        <f t="shared" si="5"/>
        <v>67.391999999999996</v>
      </c>
      <c r="S18" s="35"/>
      <c r="T18" s="12"/>
      <c r="U18" s="68"/>
    </row>
    <row r="19" spans="1:25" s="54" customFormat="1" ht="13.5" customHeight="1">
      <c r="A19" s="184" t="s">
        <v>107</v>
      </c>
      <c r="B19" s="184">
        <v>21</v>
      </c>
      <c r="C19" s="185" t="s">
        <v>89</v>
      </c>
      <c r="D19" s="191" t="str">
        <f>IF(A19="","",VLOOKUP($C19,일람표!$A$2:$K$36,11,FALSE))</f>
        <v>A</v>
      </c>
      <c r="E19" s="191" t="str">
        <f>IF(A19="","",VLOOKUP($C19,일람표!$A$2:$J$36,6,FALSE))</f>
        <v>MVS</v>
      </c>
      <c r="F19" s="191" t="str">
        <f>IF(A19="","",RIGHT(VLOOKUP($C19,일람표!$A$1:$H$36,2,FALSE),5))</f>
        <v>10085</v>
      </c>
      <c r="G19" s="192">
        <f>SUMIF(일람표!$A$2:$A$36,C19,일람표!H$2:H$36)</f>
        <v>110</v>
      </c>
      <c r="H19" s="192">
        <f>SUMIF(일람표!$A$2:$A$36,C19,일람표!J$2:J$36)</f>
        <v>30</v>
      </c>
      <c r="I19" s="192">
        <f>SUMIF(일람표!$A$2:$A$36,C19,일람표!E$2:E$36)</f>
        <v>200</v>
      </c>
      <c r="J19" s="187">
        <v>2160</v>
      </c>
      <c r="K19" s="188"/>
      <c r="L19" s="189"/>
      <c r="M19" s="189">
        <v>1</v>
      </c>
      <c r="N19" s="189"/>
      <c r="O19" s="190">
        <v>22</v>
      </c>
      <c r="P19" s="193">
        <f t="shared" si="3"/>
        <v>23</v>
      </c>
      <c r="Q19" s="194" t="str">
        <f t="shared" si="4"/>
        <v>MVS10085-110</v>
      </c>
      <c r="R19" s="195">
        <f t="shared" si="5"/>
        <v>29.808</v>
      </c>
      <c r="S19" s="35"/>
      <c r="T19" s="12"/>
      <c r="U19" s="68"/>
    </row>
    <row r="20" spans="1:25" s="54" customFormat="1" ht="13.5" customHeight="1">
      <c r="A20" s="186" t="s">
        <v>107</v>
      </c>
      <c r="B20" s="184">
        <v>25</v>
      </c>
      <c r="C20" s="185" t="s">
        <v>89</v>
      </c>
      <c r="D20" s="191" t="str">
        <f>IF(A20="","",VLOOKUP($C20,일람표!$A$2:$K$36,11,FALSE))</f>
        <v>A</v>
      </c>
      <c r="E20" s="191" t="str">
        <f>IF(A20="","",VLOOKUP($C20,일람표!$A$2:$J$36,6,FALSE))</f>
        <v>MVS</v>
      </c>
      <c r="F20" s="191" t="str">
        <f>IF(A20="","",RIGHT(VLOOKUP($C20,일람표!$A$1:$H$36,2,FALSE),5))</f>
        <v>10085</v>
      </c>
      <c r="G20" s="192">
        <f>SUMIF(일람표!$A$2:$A$36,C20,일람표!H$2:H$36)</f>
        <v>110</v>
      </c>
      <c r="H20" s="192">
        <f>SUMIF(일람표!$A$2:$A$36,C20,일람표!J$2:J$36)</f>
        <v>30</v>
      </c>
      <c r="I20" s="192">
        <f>SUMIF(일람표!$A$2:$A$36,C20,일람표!E$2:E$36)</f>
        <v>200</v>
      </c>
      <c r="J20" s="187">
        <v>2060</v>
      </c>
      <c r="K20" s="188"/>
      <c r="L20" s="189"/>
      <c r="M20" s="189">
        <v>1</v>
      </c>
      <c r="N20" s="189"/>
      <c r="O20" s="190">
        <v>9</v>
      </c>
      <c r="P20" s="193">
        <f t="shared" si="3"/>
        <v>10</v>
      </c>
      <c r="Q20" s="194" t="str">
        <f t="shared" si="4"/>
        <v>MVS10085-110</v>
      </c>
      <c r="R20" s="195">
        <f t="shared" si="5"/>
        <v>12.36</v>
      </c>
      <c r="S20" s="35"/>
      <c r="T20" s="12"/>
      <c r="U20" s="68"/>
    </row>
    <row r="21" spans="1:25" s="54" customFormat="1" ht="13.5" customHeight="1">
      <c r="A21" s="183" t="s">
        <v>108</v>
      </c>
      <c r="B21" s="184">
        <v>29</v>
      </c>
      <c r="C21" s="185" t="s">
        <v>93</v>
      </c>
      <c r="D21" s="191" t="str">
        <f>IF(A21="","",VLOOKUP($C21,일람표!$A$2:$K$36,11,FALSE))</f>
        <v>A</v>
      </c>
      <c r="E21" s="191" t="str">
        <f>IF(A21="","",VLOOKUP($C21,일람표!$A$2:$J$36,6,FALSE))</f>
        <v>MVS</v>
      </c>
      <c r="F21" s="191" t="str">
        <f>IF(A21="","",RIGHT(VLOOKUP($C21,일람표!$A$1:$H$36,2,FALSE),5))</f>
        <v>13105</v>
      </c>
      <c r="G21" s="192">
        <f>SUMIF(일람표!$A$2:$A$36,C21,일람표!H$2:H$36)</f>
        <v>110</v>
      </c>
      <c r="H21" s="192">
        <f>SUMIF(일람표!$A$2:$A$36,C21,일람표!J$2:J$36)</f>
        <v>30</v>
      </c>
      <c r="I21" s="192">
        <f>SUMIF(일람표!$A$2:$A$36,C21,일람표!E$2:E$36)</f>
        <v>200</v>
      </c>
      <c r="J21" s="187">
        <v>3110</v>
      </c>
      <c r="K21" s="188"/>
      <c r="L21" s="189">
        <v>2</v>
      </c>
      <c r="M21" s="189"/>
      <c r="N21" s="189"/>
      <c r="O21" s="190">
        <v>18</v>
      </c>
      <c r="P21" s="193">
        <f t="shared" si="3"/>
        <v>20</v>
      </c>
      <c r="Q21" s="194" t="str">
        <f t="shared" si="4"/>
        <v>MVS13105-110</v>
      </c>
      <c r="R21" s="195">
        <f t="shared" si="5"/>
        <v>37.32</v>
      </c>
      <c r="S21" s="35"/>
      <c r="T21" s="12"/>
      <c r="U21" s="68"/>
    </row>
    <row r="22" spans="1:25" s="54" customFormat="1" ht="13.5" customHeight="1">
      <c r="A22" s="184" t="s">
        <v>108</v>
      </c>
      <c r="B22" s="185">
        <v>1</v>
      </c>
      <c r="C22" s="185" t="s">
        <v>93</v>
      </c>
      <c r="D22" s="191" t="str">
        <f>IF(A22="","",VLOOKUP($C22,일람표!$A$2:$K$36,11,FALSE))</f>
        <v>A</v>
      </c>
      <c r="E22" s="191" t="str">
        <f>IF(A22="","",VLOOKUP($C22,일람표!$A$2:$J$36,6,FALSE))</f>
        <v>MVS</v>
      </c>
      <c r="F22" s="191" t="str">
        <f>IF(A22="","",RIGHT(VLOOKUP($C22,일람표!$A$1:$H$36,2,FALSE),5))</f>
        <v>13105</v>
      </c>
      <c r="G22" s="192">
        <f>SUMIF(일람표!$A$2:$A$36,C22,일람표!H$2:H$36)</f>
        <v>110</v>
      </c>
      <c r="H22" s="192">
        <f>SUMIF(일람표!$A$2:$A$36,C22,일람표!J$2:J$36)</f>
        <v>30</v>
      </c>
      <c r="I22" s="192">
        <f>SUMIF(일람표!$A$2:$A$36,C22,일람표!E$2:E$36)</f>
        <v>200</v>
      </c>
      <c r="J22" s="187">
        <v>3010</v>
      </c>
      <c r="K22" s="188"/>
      <c r="L22" s="189"/>
      <c r="M22" s="189"/>
      <c r="N22" s="189"/>
      <c r="O22" s="190">
        <v>8</v>
      </c>
      <c r="P22" s="193">
        <f t="shared" si="3"/>
        <v>8</v>
      </c>
      <c r="Q22" s="194" t="str">
        <f t="shared" si="4"/>
        <v>MVS13105-110</v>
      </c>
      <c r="R22" s="195">
        <f t="shared" si="5"/>
        <v>14.448</v>
      </c>
      <c r="S22" s="35"/>
      <c r="T22" s="12"/>
      <c r="V22" s="51"/>
      <c r="W22" s="51"/>
      <c r="X22" s="51"/>
      <c r="Y22" s="51"/>
    </row>
    <row r="23" spans="1:25" s="54" customFormat="1" ht="13.5" customHeight="1">
      <c r="A23" s="184" t="s">
        <v>109</v>
      </c>
      <c r="B23" s="185">
        <v>35</v>
      </c>
      <c r="C23" s="185" t="s">
        <v>93</v>
      </c>
      <c r="D23" s="191" t="str">
        <f>IF(A23="","",VLOOKUP($C23,일람표!$A$2:$K$36,11,FALSE))</f>
        <v>A</v>
      </c>
      <c r="E23" s="191" t="str">
        <f>IF(A23="","",VLOOKUP($C23,일람표!$A$2:$J$36,6,FALSE))</f>
        <v>MVS</v>
      </c>
      <c r="F23" s="191" t="str">
        <f>IF(A23="","",RIGHT(VLOOKUP($C23,일람표!$A$1:$H$36,2,FALSE),5))</f>
        <v>13105</v>
      </c>
      <c r="G23" s="192">
        <f>SUMIF(일람표!$A$2:$A$36,C23,일람표!H$2:H$36)</f>
        <v>110</v>
      </c>
      <c r="H23" s="192">
        <f>SUMIF(일람표!$A$2:$A$36,C23,일람표!J$2:J$36)</f>
        <v>30</v>
      </c>
      <c r="I23" s="192">
        <f>SUMIF(일람표!$A$2:$A$36,C23,일람표!E$2:E$36)</f>
        <v>200</v>
      </c>
      <c r="J23" s="187">
        <v>3410</v>
      </c>
      <c r="K23" s="188"/>
      <c r="L23" s="189"/>
      <c r="M23" s="189"/>
      <c r="N23" s="189"/>
      <c r="O23" s="190">
        <v>52</v>
      </c>
      <c r="P23" s="193">
        <f t="shared" si="3"/>
        <v>52</v>
      </c>
      <c r="Q23" s="194" t="str">
        <f t="shared" si="4"/>
        <v>MVS13105-110</v>
      </c>
      <c r="R23" s="195">
        <f t="shared" si="5"/>
        <v>106.392</v>
      </c>
      <c r="S23" s="35"/>
      <c r="T23" s="12"/>
      <c r="U23" s="68"/>
    </row>
    <row r="24" spans="1:25" s="54" customFormat="1" ht="13.5" customHeight="1">
      <c r="A24" s="184" t="s">
        <v>110</v>
      </c>
      <c r="B24" s="185">
        <v>31</v>
      </c>
      <c r="C24" s="185" t="s">
        <v>95</v>
      </c>
      <c r="D24" s="191" t="str">
        <f>IF(A24="","",VLOOKUP($C24,일람표!$A$2:$K$36,11,FALSE))</f>
        <v>A</v>
      </c>
      <c r="E24" s="191" t="str">
        <f>IF(A24="","",VLOOKUP($C24,일람표!$A$2:$J$36,6,FALSE))</f>
        <v>MVS</v>
      </c>
      <c r="F24" s="191" t="str">
        <f>IF(A24="","",RIGHT(VLOOKUP($C24,일람표!$A$1:$H$36,2,FALSE),5))</f>
        <v>13135</v>
      </c>
      <c r="G24" s="192">
        <f>SUMIF(일람표!$A$2:$A$36,C24,일람표!H$2:H$36)</f>
        <v>110</v>
      </c>
      <c r="H24" s="192">
        <f>SUMIF(일람표!$A$2:$A$36,C24,일람표!J$2:J$36)</f>
        <v>30</v>
      </c>
      <c r="I24" s="192">
        <f>SUMIF(일람표!$A$2:$A$36,C24,일람표!E$2:E$36)</f>
        <v>200</v>
      </c>
      <c r="J24" s="187">
        <v>3610</v>
      </c>
      <c r="K24" s="188"/>
      <c r="L24" s="189"/>
      <c r="M24" s="189"/>
      <c r="N24" s="189"/>
      <c r="O24" s="190">
        <v>8</v>
      </c>
      <c r="P24" s="193">
        <f t="shared" si="3"/>
        <v>8</v>
      </c>
      <c r="Q24" s="194" t="str">
        <f t="shared" si="4"/>
        <v>MVS13135-110</v>
      </c>
      <c r="R24" s="195">
        <f t="shared" si="5"/>
        <v>17.327999999999999</v>
      </c>
      <c r="S24" s="35"/>
      <c r="T24" s="12"/>
      <c r="U24" s="68"/>
    </row>
    <row r="25" spans="1:25" s="54" customFormat="1" ht="13.5" customHeight="1">
      <c r="A25" s="184" t="s">
        <v>111</v>
      </c>
      <c r="B25" s="185">
        <v>26</v>
      </c>
      <c r="C25" s="185" t="s">
        <v>89</v>
      </c>
      <c r="D25" s="191" t="str">
        <f>IF(A25="","",VLOOKUP($C25,일람표!$A$2:$K$36,11,FALSE))</f>
        <v>A</v>
      </c>
      <c r="E25" s="191" t="str">
        <f>IF(A25="","",VLOOKUP($C25,일람표!$A$2:$J$36,6,FALSE))</f>
        <v>MVS</v>
      </c>
      <c r="F25" s="191" t="str">
        <f>IF(A25="","",RIGHT(VLOOKUP($C25,일람표!$A$1:$H$36,2,FALSE),5))</f>
        <v>10085</v>
      </c>
      <c r="G25" s="192">
        <f>SUMIF(일람표!$A$2:$A$36,C25,일람표!H$2:H$36)</f>
        <v>110</v>
      </c>
      <c r="H25" s="192">
        <f>SUMIF(일람표!$A$2:$A$36,C25,일람표!J$2:J$36)</f>
        <v>30</v>
      </c>
      <c r="I25" s="192">
        <f>SUMIF(일람표!$A$2:$A$36,C25,일람표!E$2:E$36)</f>
        <v>200</v>
      </c>
      <c r="J25" s="187">
        <v>2660</v>
      </c>
      <c r="K25" s="188"/>
      <c r="L25" s="189"/>
      <c r="M25" s="189"/>
      <c r="N25" s="189"/>
      <c r="O25" s="190">
        <v>16</v>
      </c>
      <c r="P25" s="193">
        <f t="shared" si="3"/>
        <v>16</v>
      </c>
      <c r="Q25" s="194" t="str">
        <f t="shared" si="4"/>
        <v>MVS10085-110</v>
      </c>
      <c r="R25" s="195">
        <f t="shared" si="5"/>
        <v>25.536000000000001</v>
      </c>
      <c r="S25" s="35"/>
      <c r="T25" s="12"/>
      <c r="U25" s="68"/>
    </row>
    <row r="26" spans="1:25" s="54" customFormat="1" ht="13.5" customHeight="1">
      <c r="A26" s="184" t="s">
        <v>111</v>
      </c>
      <c r="B26" s="185">
        <v>27</v>
      </c>
      <c r="C26" s="185" t="s">
        <v>89</v>
      </c>
      <c r="D26" s="191" t="str">
        <f>IF(A26="","",VLOOKUP($C26,일람표!$A$2:$K$36,11,FALSE))</f>
        <v>A</v>
      </c>
      <c r="E26" s="191" t="str">
        <f>IF(A26="","",VLOOKUP($C26,일람표!$A$2:$J$36,6,FALSE))</f>
        <v>MVS</v>
      </c>
      <c r="F26" s="191" t="str">
        <f>IF(A26="","",RIGHT(VLOOKUP($C26,일람표!$A$1:$H$36,2,FALSE),5))</f>
        <v>10085</v>
      </c>
      <c r="G26" s="192">
        <f>SUMIF(일람표!$A$2:$A$36,C26,일람표!H$2:H$36)</f>
        <v>110</v>
      </c>
      <c r="H26" s="192">
        <f>SUMIF(일람표!$A$2:$A$36,C26,일람표!J$2:J$36)</f>
        <v>30</v>
      </c>
      <c r="I26" s="192">
        <f>SUMIF(일람표!$A$2:$A$36,C26,일람표!E$2:E$36)</f>
        <v>200</v>
      </c>
      <c r="J26" s="187">
        <v>2160</v>
      </c>
      <c r="K26" s="188"/>
      <c r="L26" s="189"/>
      <c r="M26" s="189">
        <v>2</v>
      </c>
      <c r="N26" s="189"/>
      <c r="O26" s="190">
        <v>37</v>
      </c>
      <c r="P26" s="193">
        <f t="shared" si="3"/>
        <v>39</v>
      </c>
      <c r="Q26" s="194" t="str">
        <f t="shared" si="4"/>
        <v>MVS10085-110</v>
      </c>
      <c r="R26" s="195">
        <f t="shared" si="5"/>
        <v>50.543999999999997</v>
      </c>
      <c r="S26" s="35"/>
      <c r="T26" s="12"/>
      <c r="U26" s="68"/>
    </row>
    <row r="27" spans="1:25" s="54" customFormat="1" ht="13.5" customHeight="1">
      <c r="A27" s="183" t="s">
        <v>112</v>
      </c>
      <c r="B27" s="185">
        <v>10</v>
      </c>
      <c r="C27" s="185" t="s">
        <v>89</v>
      </c>
      <c r="D27" s="191" t="str">
        <f>IF(A27="","",VLOOKUP($C27,일람표!$A$2:$K$36,11,FALSE))</f>
        <v>A</v>
      </c>
      <c r="E27" s="191" t="str">
        <f>IF(A27="","",VLOOKUP($C27,일람표!$A$2:$J$36,6,FALSE))</f>
        <v>MVS</v>
      </c>
      <c r="F27" s="191" t="str">
        <f>IF(A27="","",RIGHT(VLOOKUP($C27,일람표!$A$1:$H$36,2,FALSE),5))</f>
        <v>10085</v>
      </c>
      <c r="G27" s="192">
        <f>SUMIF(일람표!$A$2:$A$36,C27,일람표!H$2:H$36)</f>
        <v>110</v>
      </c>
      <c r="H27" s="192">
        <f>SUMIF(일람표!$A$2:$A$36,C27,일람표!J$2:J$36)</f>
        <v>30</v>
      </c>
      <c r="I27" s="192">
        <f>SUMIF(일람표!$A$2:$A$36,C27,일람표!E$2:E$36)</f>
        <v>200</v>
      </c>
      <c r="J27" s="187">
        <v>2160</v>
      </c>
      <c r="K27" s="188"/>
      <c r="L27" s="189"/>
      <c r="M27" s="189"/>
      <c r="N27" s="189"/>
      <c r="O27" s="190">
        <v>25</v>
      </c>
      <c r="P27" s="193">
        <f t="shared" si="3"/>
        <v>25</v>
      </c>
      <c r="Q27" s="194" t="str">
        <f t="shared" si="4"/>
        <v>MVS10085-110</v>
      </c>
      <c r="R27" s="195">
        <f t="shared" si="5"/>
        <v>32.4</v>
      </c>
      <c r="S27" s="35"/>
      <c r="T27" s="12"/>
      <c r="U27" s="68"/>
    </row>
    <row r="28" spans="1:25" s="54" customFormat="1" ht="13.5" customHeight="1">
      <c r="A28" s="184" t="s">
        <v>112</v>
      </c>
      <c r="B28" s="185">
        <v>15</v>
      </c>
      <c r="C28" s="185" t="s">
        <v>89</v>
      </c>
      <c r="D28" s="191" t="str">
        <f>IF(A28="","",VLOOKUP($C28,일람표!$A$2:$K$36,11,FALSE))</f>
        <v>A</v>
      </c>
      <c r="E28" s="191" t="str">
        <f>IF(A28="","",VLOOKUP($C28,일람표!$A$2:$J$36,6,FALSE))</f>
        <v>MVS</v>
      </c>
      <c r="F28" s="191" t="str">
        <f>IF(A28="","",RIGHT(VLOOKUP($C28,일람표!$A$1:$H$36,2,FALSE),5))</f>
        <v>10085</v>
      </c>
      <c r="G28" s="192">
        <f>SUMIF(일람표!$A$2:$A$36,C28,일람표!H$2:H$36)</f>
        <v>110</v>
      </c>
      <c r="H28" s="192">
        <f>SUMIF(일람표!$A$2:$A$36,C28,일람표!J$2:J$36)</f>
        <v>30</v>
      </c>
      <c r="I28" s="192">
        <f>SUMIF(일람표!$A$2:$A$36,C28,일람표!E$2:E$36)</f>
        <v>200</v>
      </c>
      <c r="J28" s="187">
        <v>2010</v>
      </c>
      <c r="K28" s="188"/>
      <c r="L28" s="189"/>
      <c r="M28" s="189"/>
      <c r="N28" s="189"/>
      <c r="O28" s="190">
        <v>35</v>
      </c>
      <c r="P28" s="193">
        <f t="shared" si="3"/>
        <v>35</v>
      </c>
      <c r="Q28" s="194" t="str">
        <f t="shared" si="4"/>
        <v>MVS10085-110</v>
      </c>
      <c r="R28" s="195">
        <f t="shared" si="5"/>
        <v>42.21</v>
      </c>
      <c r="S28" s="35"/>
      <c r="T28" s="12"/>
      <c r="U28" s="68"/>
    </row>
    <row r="29" spans="1:25" s="54" customFormat="1" ht="13.5" customHeight="1">
      <c r="A29" s="184" t="s">
        <v>113</v>
      </c>
      <c r="B29" s="185">
        <v>2</v>
      </c>
      <c r="C29" s="185" t="s">
        <v>89</v>
      </c>
      <c r="D29" s="191" t="str">
        <f>IF(A29="","",VLOOKUP($C29,일람표!$A$2:$K$36,11,FALSE))</f>
        <v>A</v>
      </c>
      <c r="E29" s="191" t="str">
        <f>IF(A29="","",VLOOKUP($C29,일람표!$A$2:$J$36,6,FALSE))</f>
        <v>MVS</v>
      </c>
      <c r="F29" s="191" t="str">
        <f>IF(A29="","",RIGHT(VLOOKUP($C29,일람표!$A$1:$H$36,2,FALSE),5))</f>
        <v>10085</v>
      </c>
      <c r="G29" s="192">
        <f>SUMIF(일람표!$A$2:$A$36,C29,일람표!H$2:H$36)</f>
        <v>110</v>
      </c>
      <c r="H29" s="192">
        <f>SUMIF(일람표!$A$2:$A$36,C29,일람표!J$2:J$36)</f>
        <v>30</v>
      </c>
      <c r="I29" s="192">
        <f>SUMIF(일람표!$A$2:$A$36,C29,일람표!E$2:E$36)</f>
        <v>200</v>
      </c>
      <c r="J29" s="187">
        <v>2160</v>
      </c>
      <c r="K29" s="188"/>
      <c r="L29" s="189"/>
      <c r="M29" s="189"/>
      <c r="N29" s="189"/>
      <c r="O29" s="190">
        <v>60</v>
      </c>
      <c r="P29" s="193">
        <f t="shared" si="3"/>
        <v>60</v>
      </c>
      <c r="Q29" s="194" t="str">
        <f t="shared" si="4"/>
        <v>MVS10085-110</v>
      </c>
      <c r="R29" s="195">
        <f t="shared" si="5"/>
        <v>77.760000000000005</v>
      </c>
      <c r="S29" s="101"/>
      <c r="T29" s="12"/>
      <c r="U29" s="68"/>
      <c r="V29" s="51"/>
      <c r="W29" s="51"/>
      <c r="X29" s="51"/>
      <c r="Y29" s="51"/>
    </row>
    <row r="30" spans="1:25" s="54" customFormat="1" ht="13.5" customHeight="1">
      <c r="A30" s="47"/>
      <c r="B30" s="46"/>
      <c r="C30" s="46"/>
      <c r="D30" s="26" t="str">
        <f>IF(A30="","",VLOOKUP($C30,일람표!$A$2:$K$36,11,FALSE))</f>
        <v/>
      </c>
      <c r="E30" s="26" t="str">
        <f>IF(A30="","",VLOOKUP($C30,일람표!$A$2:$J$36,6,FALSE))</f>
        <v/>
      </c>
      <c r="F30" s="26" t="str">
        <f>IF(A30="","",RIGHT(VLOOKUP($C30,일람표!$A$1:$H$36,2,FALSE),5))</f>
        <v/>
      </c>
      <c r="G30" s="27">
        <f>SUMIF(일람표!$A$2:$A$36,C30,일람표!H$2:H$36)</f>
        <v>0</v>
      </c>
      <c r="H30" s="27">
        <f>SUMIF(일람표!$A$2:$A$36,C30,일람표!J$2:J$36)</f>
        <v>0</v>
      </c>
      <c r="I30" s="27">
        <f>SUMIF(일람표!$A$2:$A$36,C30,일람표!E$2:E$36)</f>
        <v>0</v>
      </c>
      <c r="J30" s="28"/>
      <c r="K30" s="29"/>
      <c r="L30" s="30"/>
      <c r="M30" s="30"/>
      <c r="N30" s="30"/>
      <c r="O30" s="31"/>
      <c r="P30" s="32">
        <f t="shared" ref="P30:P66" si="6">K30+L30+M30+N30+O30</f>
        <v>0</v>
      </c>
      <c r="Q30" s="33" t="str">
        <f t="shared" ref="Q30:Q48" si="7">IF(A30="","",CONCATENATE(E30,F30,"-",G30))</f>
        <v/>
      </c>
      <c r="R30" s="34">
        <f t="shared" ref="R30:R36" si="8">+J30*0.6*(O30+L30+M30+N30)/1000</f>
        <v>0</v>
      </c>
      <c r="S30" s="35"/>
      <c r="T30" s="12"/>
      <c r="U30" s="68"/>
    </row>
    <row r="31" spans="1:25" s="54" customFormat="1" ht="13.5" customHeight="1">
      <c r="A31" s="47"/>
      <c r="B31" s="46"/>
      <c r="C31" s="46"/>
      <c r="D31" s="26" t="str">
        <f>IF(A31="","",VLOOKUP($C31,일람표!$A$2:$K$36,11,FALSE))</f>
        <v/>
      </c>
      <c r="E31" s="26" t="str">
        <f>IF(A31="","",VLOOKUP($C31,일람표!$A$2:$J$36,6,FALSE))</f>
        <v/>
      </c>
      <c r="F31" s="26" t="str">
        <f>IF(A31="","",RIGHT(VLOOKUP($C31,일람표!$A$1:$H$36,2,FALSE),5))</f>
        <v/>
      </c>
      <c r="G31" s="27">
        <f>SUMIF(일람표!$A$2:$A$36,C31,일람표!H$2:H$36)</f>
        <v>0</v>
      </c>
      <c r="H31" s="27">
        <f>SUMIF(일람표!$A$2:$A$36,C31,일람표!J$2:J$36)</f>
        <v>0</v>
      </c>
      <c r="I31" s="27">
        <f>SUMIF(일람표!$A$2:$A$36,C31,일람표!E$2:E$36)</f>
        <v>0</v>
      </c>
      <c r="J31" s="28"/>
      <c r="K31" s="29"/>
      <c r="L31" s="30"/>
      <c r="M31" s="30"/>
      <c r="N31" s="30"/>
      <c r="O31" s="31"/>
      <c r="P31" s="32">
        <f t="shared" si="6"/>
        <v>0</v>
      </c>
      <c r="Q31" s="33" t="str">
        <f t="shared" si="7"/>
        <v/>
      </c>
      <c r="R31" s="34">
        <f t="shared" si="8"/>
        <v>0</v>
      </c>
      <c r="S31" s="35"/>
      <c r="T31" s="12"/>
      <c r="U31" s="68"/>
    </row>
    <row r="32" spans="1:25" s="54" customFormat="1" ht="13.5" customHeight="1">
      <c r="A32" s="47"/>
      <c r="B32" s="46"/>
      <c r="C32" s="46"/>
      <c r="D32" s="26" t="str">
        <f>IF(A32="","",VLOOKUP($C32,일람표!$A$2:$K$36,11,FALSE))</f>
        <v/>
      </c>
      <c r="E32" s="26" t="str">
        <f>IF(A32="","",VLOOKUP($C32,일람표!$A$2:$J$36,6,FALSE))</f>
        <v/>
      </c>
      <c r="F32" s="26" t="str">
        <f>IF(A32="","",RIGHT(VLOOKUP($C32,일람표!$A$1:$H$36,2,FALSE),5))</f>
        <v/>
      </c>
      <c r="G32" s="27">
        <f>SUMIF(일람표!$A$2:$A$36,C32,일람표!H$2:H$36)</f>
        <v>0</v>
      </c>
      <c r="H32" s="27">
        <f>SUMIF(일람표!$A$2:$A$36,C32,일람표!J$2:J$36)</f>
        <v>0</v>
      </c>
      <c r="I32" s="27">
        <f>SUMIF(일람표!$A$2:$A$36,C32,일람표!E$2:E$36)</f>
        <v>0</v>
      </c>
      <c r="J32" s="28"/>
      <c r="K32" s="29"/>
      <c r="L32" s="30"/>
      <c r="M32" s="30"/>
      <c r="N32" s="30"/>
      <c r="O32" s="31"/>
      <c r="P32" s="32">
        <f t="shared" si="6"/>
        <v>0</v>
      </c>
      <c r="Q32" s="33" t="str">
        <f t="shared" si="7"/>
        <v/>
      </c>
      <c r="R32" s="34">
        <f t="shared" si="8"/>
        <v>0</v>
      </c>
      <c r="S32" s="35"/>
      <c r="T32" s="12"/>
      <c r="U32" s="68"/>
    </row>
    <row r="33" spans="1:21" s="54" customFormat="1" ht="13.5" customHeight="1">
      <c r="A33" s="47"/>
      <c r="B33" s="46"/>
      <c r="C33" s="46"/>
      <c r="D33" s="26" t="str">
        <f>IF(A33="","",VLOOKUP($C33,일람표!$A$2:$K$36,11,FALSE))</f>
        <v/>
      </c>
      <c r="E33" s="26" t="str">
        <f>IF(A33="","",VLOOKUP($C33,일람표!$A$2:$J$36,6,FALSE))</f>
        <v/>
      </c>
      <c r="F33" s="26" t="str">
        <f>IF(A33="","",RIGHT(VLOOKUP($C33,일람표!$A$1:$H$36,2,FALSE),5))</f>
        <v/>
      </c>
      <c r="G33" s="27">
        <f>SUMIF(일람표!$A$2:$A$36,C33,일람표!H$2:H$36)</f>
        <v>0</v>
      </c>
      <c r="H33" s="27">
        <f>SUMIF(일람표!$A$2:$A$36,C33,일람표!J$2:J$36)</f>
        <v>0</v>
      </c>
      <c r="I33" s="27">
        <f>SUMIF(일람표!$A$2:$A$36,C33,일람표!E$2:E$36)</f>
        <v>0</v>
      </c>
      <c r="J33" s="28"/>
      <c r="K33" s="29"/>
      <c r="L33" s="30"/>
      <c r="M33" s="30"/>
      <c r="N33" s="30"/>
      <c r="O33" s="31"/>
      <c r="P33" s="32">
        <f t="shared" si="6"/>
        <v>0</v>
      </c>
      <c r="Q33" s="33" t="str">
        <f t="shared" si="7"/>
        <v/>
      </c>
      <c r="R33" s="34">
        <f t="shared" si="8"/>
        <v>0</v>
      </c>
      <c r="S33" s="35"/>
      <c r="T33" s="12"/>
      <c r="U33" s="68"/>
    </row>
    <row r="34" spans="1:21" s="54" customFormat="1" ht="13.5" customHeight="1">
      <c r="A34" s="47"/>
      <c r="B34" s="46"/>
      <c r="C34" s="46"/>
      <c r="D34" s="26" t="str">
        <f>IF(A34="","",VLOOKUP($C34,일람표!$A$2:$K$36,11,FALSE))</f>
        <v/>
      </c>
      <c r="E34" s="26" t="str">
        <f>IF(A34="","",VLOOKUP($C34,일람표!$A$2:$J$36,6,FALSE))</f>
        <v/>
      </c>
      <c r="F34" s="26" t="str">
        <f>IF(A34="","",RIGHT(VLOOKUP($C34,일람표!$A$1:$H$36,2,FALSE),5))</f>
        <v/>
      </c>
      <c r="G34" s="27">
        <f>SUMIF(일람표!$A$2:$A$36,C34,일람표!H$2:H$36)</f>
        <v>0</v>
      </c>
      <c r="H34" s="27">
        <f>SUMIF(일람표!$A$2:$A$36,C34,일람표!J$2:J$36)</f>
        <v>0</v>
      </c>
      <c r="I34" s="27">
        <f>SUMIF(일람표!$A$2:$A$36,C34,일람표!E$2:E$36)</f>
        <v>0</v>
      </c>
      <c r="J34" s="28"/>
      <c r="K34" s="29"/>
      <c r="L34" s="30"/>
      <c r="M34" s="30"/>
      <c r="N34" s="30"/>
      <c r="O34" s="31"/>
      <c r="P34" s="32">
        <f t="shared" si="6"/>
        <v>0</v>
      </c>
      <c r="Q34" s="33" t="str">
        <f t="shared" si="7"/>
        <v/>
      </c>
      <c r="R34" s="34">
        <f t="shared" si="8"/>
        <v>0</v>
      </c>
      <c r="S34" s="35"/>
      <c r="T34" s="12"/>
      <c r="U34" s="68"/>
    </row>
    <row r="35" spans="1:21" s="54" customFormat="1" ht="13.5" customHeight="1">
      <c r="A35" s="47"/>
      <c r="B35" s="46"/>
      <c r="C35" s="46"/>
      <c r="D35" s="26" t="str">
        <f>IF(A35="","",VLOOKUP($C35,일람표!$A$2:$K$36,11,FALSE))</f>
        <v/>
      </c>
      <c r="E35" s="26" t="str">
        <f>IF(A35="","",VLOOKUP($C35,일람표!$A$2:$J$36,6,FALSE))</f>
        <v/>
      </c>
      <c r="F35" s="26" t="str">
        <f>IF(A35="","",RIGHT(VLOOKUP($C35,일람표!$A$1:$H$36,2,FALSE),5))</f>
        <v/>
      </c>
      <c r="G35" s="27">
        <f>SUMIF(일람표!$A$2:$A$36,C35,일람표!H$2:H$36)</f>
        <v>0</v>
      </c>
      <c r="H35" s="27">
        <f>SUMIF(일람표!$A$2:$A$36,C35,일람표!J$2:J$36)</f>
        <v>0</v>
      </c>
      <c r="I35" s="27">
        <f>SUMIF(일람표!$A$2:$A$36,C35,일람표!E$2:E$36)</f>
        <v>0</v>
      </c>
      <c r="J35" s="28"/>
      <c r="K35" s="29"/>
      <c r="L35" s="30"/>
      <c r="M35" s="30"/>
      <c r="N35" s="30"/>
      <c r="O35" s="31"/>
      <c r="P35" s="32">
        <f t="shared" si="6"/>
        <v>0</v>
      </c>
      <c r="Q35" s="33" t="str">
        <f t="shared" si="7"/>
        <v/>
      </c>
      <c r="R35" s="34">
        <f t="shared" si="8"/>
        <v>0</v>
      </c>
      <c r="S35" s="35"/>
      <c r="T35" s="12"/>
      <c r="U35" s="68"/>
    </row>
    <row r="36" spans="1:21" s="54" customFormat="1" ht="13.5" customHeight="1">
      <c r="A36" s="47"/>
      <c r="B36" s="46"/>
      <c r="C36" s="46"/>
      <c r="D36" s="26" t="str">
        <f>IF(A36="","",VLOOKUP($C36,일람표!$A$2:$K$36,11,FALSE))</f>
        <v/>
      </c>
      <c r="E36" s="26" t="str">
        <f>IF(A36="","",VLOOKUP($C36,일람표!$A$2:$J$36,6,FALSE))</f>
        <v/>
      </c>
      <c r="F36" s="26" t="str">
        <f>IF(A36="","",RIGHT(VLOOKUP($C36,일람표!$A$1:$H$36,2,FALSE),5))</f>
        <v/>
      </c>
      <c r="G36" s="27">
        <f>SUMIF(일람표!$A$2:$A$36,C36,일람표!H$2:H$36)</f>
        <v>0</v>
      </c>
      <c r="H36" s="27">
        <f>SUMIF(일람표!$A$2:$A$36,C36,일람표!J$2:J$36)</f>
        <v>0</v>
      </c>
      <c r="I36" s="27">
        <f>SUMIF(일람표!$A$2:$A$36,C36,일람표!E$2:E$36)</f>
        <v>0</v>
      </c>
      <c r="J36" s="28"/>
      <c r="K36" s="29"/>
      <c r="L36" s="30"/>
      <c r="M36" s="30"/>
      <c r="N36" s="30"/>
      <c r="O36" s="31"/>
      <c r="P36" s="32">
        <f t="shared" si="6"/>
        <v>0</v>
      </c>
      <c r="Q36" s="33" t="str">
        <f t="shared" si="7"/>
        <v/>
      </c>
      <c r="R36" s="34">
        <f t="shared" si="8"/>
        <v>0</v>
      </c>
      <c r="S36" s="35"/>
      <c r="T36" s="12"/>
      <c r="U36" s="68"/>
    </row>
    <row r="37" spans="1:21" s="54" customFormat="1" ht="13.5" customHeight="1">
      <c r="A37" s="47"/>
      <c r="B37" s="46"/>
      <c r="C37" s="46"/>
      <c r="D37" s="26" t="str">
        <f>IF(A37="","",VLOOKUP($C37,일람표!$A$2:$K$36,11,FALSE))</f>
        <v/>
      </c>
      <c r="E37" s="26" t="str">
        <f>IF(A37="","",VLOOKUP($C37,일람표!$A$2:$J$36,6,FALSE))</f>
        <v/>
      </c>
      <c r="F37" s="26" t="str">
        <f>IF(A37="","",RIGHT(VLOOKUP($C37,일람표!$A$1:$H$36,2,FALSE),5))</f>
        <v/>
      </c>
      <c r="G37" s="27">
        <f>SUMIF(일람표!$A$2:$A$36,C37,일람표!H$2:H$36)</f>
        <v>0</v>
      </c>
      <c r="H37" s="27">
        <f>SUMIF(일람표!$A$2:$A$36,C37,일람표!J$2:J$36)</f>
        <v>0</v>
      </c>
      <c r="I37" s="27">
        <f>SUMIF(일람표!$A$2:$A$36,C37,일람표!E$2:E$36)</f>
        <v>0</v>
      </c>
      <c r="J37" s="28"/>
      <c r="K37" s="29"/>
      <c r="L37" s="30"/>
      <c r="M37" s="30"/>
      <c r="N37" s="30"/>
      <c r="O37" s="31"/>
      <c r="P37" s="32">
        <f t="shared" si="6"/>
        <v>0</v>
      </c>
      <c r="Q37" s="33" t="str">
        <f t="shared" si="7"/>
        <v/>
      </c>
      <c r="R37" s="34">
        <f t="shared" ref="R37:R100" si="9">+J37*0.6*(O37+L37+M37+N37)/1000</f>
        <v>0</v>
      </c>
      <c r="S37" s="35"/>
      <c r="T37" s="12"/>
      <c r="U37" s="68"/>
    </row>
    <row r="38" spans="1:21" s="54" customFormat="1" ht="13.5" customHeight="1">
      <c r="A38" s="47"/>
      <c r="B38" s="46"/>
      <c r="C38" s="46"/>
      <c r="D38" s="26" t="str">
        <f>IF(A38="","",VLOOKUP($C38,일람표!$A$2:$K$36,11,FALSE))</f>
        <v/>
      </c>
      <c r="E38" s="26" t="str">
        <f>IF(A38="","",VLOOKUP($C38,일람표!$A$2:$J$36,6,FALSE))</f>
        <v/>
      </c>
      <c r="F38" s="26" t="str">
        <f>IF(A38="","",RIGHT(VLOOKUP($C38,일람표!$A$1:$H$36,2,FALSE),5))</f>
        <v/>
      </c>
      <c r="G38" s="27">
        <f>SUMIF(일람표!$A$2:$A$36,C38,일람표!H$2:H$36)</f>
        <v>0</v>
      </c>
      <c r="H38" s="27">
        <f>SUMIF(일람표!$A$2:$A$36,C38,일람표!J$2:J$36)</f>
        <v>0</v>
      </c>
      <c r="I38" s="27">
        <f>SUMIF(일람표!$A$2:$A$36,C38,일람표!E$2:E$36)</f>
        <v>0</v>
      </c>
      <c r="J38" s="28"/>
      <c r="K38" s="29"/>
      <c r="L38" s="30"/>
      <c r="M38" s="30"/>
      <c r="N38" s="30"/>
      <c r="O38" s="31"/>
      <c r="P38" s="32">
        <f t="shared" si="6"/>
        <v>0</v>
      </c>
      <c r="Q38" s="33" t="str">
        <f t="shared" si="7"/>
        <v/>
      </c>
      <c r="R38" s="34">
        <f t="shared" si="9"/>
        <v>0</v>
      </c>
      <c r="S38" s="35"/>
      <c r="T38" s="12"/>
      <c r="U38" s="68"/>
    </row>
    <row r="39" spans="1:21" s="54" customFormat="1" ht="13.5" customHeight="1">
      <c r="A39" s="47"/>
      <c r="B39" s="46"/>
      <c r="C39" s="46"/>
      <c r="D39" s="26" t="str">
        <f>IF(A39="","",VLOOKUP($C39,일람표!$A$2:$K$36,11,FALSE))</f>
        <v/>
      </c>
      <c r="E39" s="26" t="str">
        <f>IF(A39="","",VLOOKUP($C39,일람표!$A$2:$J$36,6,FALSE))</f>
        <v/>
      </c>
      <c r="F39" s="26" t="str">
        <f>IF(A39="","",RIGHT(VLOOKUP($C39,일람표!$A$1:$H$36,2,FALSE),5))</f>
        <v/>
      </c>
      <c r="G39" s="27">
        <f>SUMIF(일람표!$A$2:$A$36,C39,일람표!H$2:H$36)</f>
        <v>0</v>
      </c>
      <c r="H39" s="27">
        <f>SUMIF(일람표!$A$2:$A$36,C39,일람표!J$2:J$36)</f>
        <v>0</v>
      </c>
      <c r="I39" s="27">
        <f>SUMIF(일람표!$A$2:$A$36,C39,일람표!E$2:E$36)</f>
        <v>0</v>
      </c>
      <c r="J39" s="28"/>
      <c r="K39" s="29"/>
      <c r="L39" s="30"/>
      <c r="M39" s="30"/>
      <c r="N39" s="30"/>
      <c r="O39" s="31"/>
      <c r="P39" s="32">
        <f t="shared" si="6"/>
        <v>0</v>
      </c>
      <c r="Q39" s="33" t="str">
        <f t="shared" si="7"/>
        <v/>
      </c>
      <c r="R39" s="34">
        <f t="shared" si="9"/>
        <v>0</v>
      </c>
      <c r="S39" s="35"/>
      <c r="T39" s="12"/>
      <c r="U39" s="68"/>
    </row>
    <row r="40" spans="1:21" s="54" customFormat="1" ht="13.5" customHeight="1">
      <c r="A40" s="47"/>
      <c r="B40" s="46"/>
      <c r="C40" s="46"/>
      <c r="D40" s="26" t="str">
        <f>IF(A40="","",VLOOKUP($C40,일람표!$A$2:$K$36,11,FALSE))</f>
        <v/>
      </c>
      <c r="E40" s="26" t="str">
        <f>IF(A40="","",VLOOKUP($C40,일람표!$A$2:$J$36,6,FALSE))</f>
        <v/>
      </c>
      <c r="F40" s="26" t="str">
        <f>IF(A40="","",RIGHT(VLOOKUP($C40,일람표!$A$1:$H$36,2,FALSE),5))</f>
        <v/>
      </c>
      <c r="G40" s="27">
        <f>SUMIF(일람표!$A$2:$A$36,C40,일람표!H$2:H$36)</f>
        <v>0</v>
      </c>
      <c r="H40" s="27">
        <f>SUMIF(일람표!$A$2:$A$36,C40,일람표!J$2:J$36)</f>
        <v>0</v>
      </c>
      <c r="I40" s="27">
        <f>SUMIF(일람표!$A$2:$A$36,C40,일람표!E$2:E$36)</f>
        <v>0</v>
      </c>
      <c r="J40" s="28"/>
      <c r="K40" s="29"/>
      <c r="L40" s="30"/>
      <c r="M40" s="30"/>
      <c r="N40" s="30"/>
      <c r="O40" s="31"/>
      <c r="P40" s="32">
        <f t="shared" si="6"/>
        <v>0</v>
      </c>
      <c r="Q40" s="33" t="str">
        <f t="shared" si="7"/>
        <v/>
      </c>
      <c r="R40" s="34">
        <f t="shared" si="9"/>
        <v>0</v>
      </c>
      <c r="S40" s="35"/>
      <c r="T40" s="12"/>
      <c r="U40" s="68"/>
    </row>
    <row r="41" spans="1:21" s="54" customFormat="1" ht="13.5" customHeight="1">
      <c r="A41" s="47"/>
      <c r="B41" s="46"/>
      <c r="C41" s="46"/>
      <c r="D41" s="26" t="str">
        <f>IF(A41="","",VLOOKUP($C41,일람표!$A$2:$K$36,11,FALSE))</f>
        <v/>
      </c>
      <c r="E41" s="26" t="str">
        <f>IF(A41="","",VLOOKUP($C41,일람표!$A$2:$J$36,6,FALSE))</f>
        <v/>
      </c>
      <c r="F41" s="26" t="str">
        <f>IF(A41="","",RIGHT(VLOOKUP($C41,일람표!$A$1:$H$36,2,FALSE),5))</f>
        <v/>
      </c>
      <c r="G41" s="27">
        <f>SUMIF(일람표!$A$2:$A$36,C41,일람표!H$2:H$36)</f>
        <v>0</v>
      </c>
      <c r="H41" s="27">
        <f>SUMIF(일람표!$A$2:$A$36,C41,일람표!J$2:J$36)</f>
        <v>0</v>
      </c>
      <c r="I41" s="27">
        <f>SUMIF(일람표!$A$2:$A$36,C41,일람표!E$2:E$36)</f>
        <v>0</v>
      </c>
      <c r="J41" s="28"/>
      <c r="K41" s="29"/>
      <c r="L41" s="30"/>
      <c r="M41" s="30"/>
      <c r="N41" s="30"/>
      <c r="O41" s="31"/>
      <c r="P41" s="32">
        <f t="shared" si="6"/>
        <v>0</v>
      </c>
      <c r="Q41" s="33" t="str">
        <f t="shared" si="7"/>
        <v/>
      </c>
      <c r="R41" s="34">
        <f t="shared" si="9"/>
        <v>0</v>
      </c>
      <c r="S41" s="35"/>
      <c r="T41" s="12"/>
      <c r="U41" s="68"/>
    </row>
    <row r="42" spans="1:21" s="54" customFormat="1" ht="13.5" customHeight="1">
      <c r="A42" s="47"/>
      <c r="B42" s="46"/>
      <c r="C42" s="46"/>
      <c r="D42" s="26" t="str">
        <f>IF(A42="","",VLOOKUP($C42,일람표!$A$2:$K$36,11,FALSE))</f>
        <v/>
      </c>
      <c r="E42" s="26" t="str">
        <f>IF(A42="","",VLOOKUP($C42,일람표!$A$2:$J$36,6,FALSE))</f>
        <v/>
      </c>
      <c r="F42" s="26" t="str">
        <f>IF(A42="","",RIGHT(VLOOKUP($C42,일람표!$A$1:$H$36,2,FALSE),5))</f>
        <v/>
      </c>
      <c r="G42" s="27">
        <f>SUMIF(일람표!$A$2:$A$36,C42,일람표!H$2:H$36)</f>
        <v>0</v>
      </c>
      <c r="H42" s="27">
        <f>SUMIF(일람표!$A$2:$A$36,C42,일람표!J$2:J$36)</f>
        <v>0</v>
      </c>
      <c r="I42" s="27">
        <f>SUMIF(일람표!$A$2:$A$36,C42,일람표!E$2:E$36)</f>
        <v>0</v>
      </c>
      <c r="J42" s="28"/>
      <c r="K42" s="29"/>
      <c r="L42" s="30"/>
      <c r="M42" s="30"/>
      <c r="N42" s="30"/>
      <c r="O42" s="31"/>
      <c r="P42" s="32">
        <f t="shared" si="6"/>
        <v>0</v>
      </c>
      <c r="Q42" s="33" t="str">
        <f t="shared" si="7"/>
        <v/>
      </c>
      <c r="R42" s="34">
        <f t="shared" si="9"/>
        <v>0</v>
      </c>
      <c r="S42" s="35"/>
      <c r="T42" s="12"/>
      <c r="U42" s="68"/>
    </row>
    <row r="43" spans="1:21" s="54" customFormat="1" ht="13.5" customHeight="1">
      <c r="A43" s="47"/>
      <c r="B43" s="46"/>
      <c r="C43" s="46"/>
      <c r="D43" s="26" t="str">
        <f>IF(A43="","",VLOOKUP($C43,일람표!$A$2:$K$36,11,FALSE))</f>
        <v/>
      </c>
      <c r="E43" s="26" t="str">
        <f>IF(A43="","",VLOOKUP($C43,일람표!$A$2:$J$36,6,FALSE))</f>
        <v/>
      </c>
      <c r="F43" s="26" t="str">
        <f>IF(A43="","",RIGHT(VLOOKUP($C43,일람표!$A$1:$H$36,2,FALSE),5))</f>
        <v/>
      </c>
      <c r="G43" s="27">
        <f>SUMIF(일람표!$A$2:$A$36,C43,일람표!H$2:H$36)</f>
        <v>0</v>
      </c>
      <c r="H43" s="27">
        <f>SUMIF(일람표!$A$2:$A$36,C43,일람표!J$2:J$36)</f>
        <v>0</v>
      </c>
      <c r="I43" s="27">
        <f>SUMIF(일람표!$A$2:$A$36,C43,일람표!E$2:E$36)</f>
        <v>0</v>
      </c>
      <c r="J43" s="28"/>
      <c r="K43" s="29"/>
      <c r="L43" s="30"/>
      <c r="M43" s="30"/>
      <c r="N43" s="30"/>
      <c r="O43" s="31"/>
      <c r="P43" s="32">
        <f t="shared" si="6"/>
        <v>0</v>
      </c>
      <c r="Q43" s="33" t="str">
        <f t="shared" si="7"/>
        <v/>
      </c>
      <c r="R43" s="34">
        <f t="shared" si="9"/>
        <v>0</v>
      </c>
      <c r="S43" s="35"/>
      <c r="T43" s="12"/>
      <c r="U43" s="68"/>
    </row>
    <row r="44" spans="1:21" s="54" customFormat="1" ht="13.5" customHeight="1">
      <c r="A44" s="47"/>
      <c r="B44" s="46"/>
      <c r="C44" s="46"/>
      <c r="D44" s="26" t="str">
        <f>IF(A44="","",VLOOKUP($C44,일람표!$A$2:$K$36,11,FALSE))</f>
        <v/>
      </c>
      <c r="E44" s="26" t="str">
        <f>IF(A44="","",VLOOKUP($C44,일람표!$A$2:$J$36,6,FALSE))</f>
        <v/>
      </c>
      <c r="F44" s="26" t="str">
        <f>IF(A44="","",RIGHT(VLOOKUP($C44,일람표!$A$1:$H$36,2,FALSE),5))</f>
        <v/>
      </c>
      <c r="G44" s="27">
        <f>SUMIF(일람표!$A$2:$A$36,C44,일람표!H$2:H$36)</f>
        <v>0</v>
      </c>
      <c r="H44" s="27">
        <f>SUMIF(일람표!$A$2:$A$36,C44,일람표!J$2:J$36)</f>
        <v>0</v>
      </c>
      <c r="I44" s="27">
        <f>SUMIF(일람표!$A$2:$A$36,C44,일람표!E$2:E$36)</f>
        <v>0</v>
      </c>
      <c r="J44" s="28"/>
      <c r="K44" s="29"/>
      <c r="L44" s="30"/>
      <c r="M44" s="30"/>
      <c r="N44" s="30"/>
      <c r="O44" s="31"/>
      <c r="P44" s="32">
        <f t="shared" si="6"/>
        <v>0</v>
      </c>
      <c r="Q44" s="33" t="str">
        <f t="shared" si="7"/>
        <v/>
      </c>
      <c r="R44" s="34">
        <f t="shared" si="9"/>
        <v>0</v>
      </c>
      <c r="S44" s="35"/>
      <c r="T44" s="12"/>
      <c r="U44" s="68"/>
    </row>
    <row r="45" spans="1:21" s="54" customFormat="1" ht="13.5" customHeight="1">
      <c r="A45" s="47"/>
      <c r="B45" s="46"/>
      <c r="C45" s="46"/>
      <c r="D45" s="26" t="str">
        <f>IF(A45="","",VLOOKUP($C45,일람표!$A$2:$K$36,11,FALSE))</f>
        <v/>
      </c>
      <c r="E45" s="26" t="str">
        <f>IF(A45="","",VLOOKUP($C45,일람표!$A$2:$J$36,6,FALSE))</f>
        <v/>
      </c>
      <c r="F45" s="26" t="str">
        <f>IF(A45="","",RIGHT(VLOOKUP($C45,일람표!$A$1:$H$36,2,FALSE),5))</f>
        <v/>
      </c>
      <c r="G45" s="27">
        <f>SUMIF(일람표!$A$2:$A$36,C45,일람표!H$2:H$36)</f>
        <v>0</v>
      </c>
      <c r="H45" s="27">
        <f>SUMIF(일람표!$A$2:$A$36,C45,일람표!J$2:J$36)</f>
        <v>0</v>
      </c>
      <c r="I45" s="27">
        <f>SUMIF(일람표!$A$2:$A$36,C45,일람표!E$2:E$36)</f>
        <v>0</v>
      </c>
      <c r="J45" s="28"/>
      <c r="K45" s="29"/>
      <c r="L45" s="30"/>
      <c r="M45" s="30"/>
      <c r="N45" s="30"/>
      <c r="O45" s="31"/>
      <c r="P45" s="32">
        <f t="shared" si="6"/>
        <v>0</v>
      </c>
      <c r="Q45" s="33" t="str">
        <f t="shared" si="7"/>
        <v/>
      </c>
      <c r="R45" s="34">
        <f t="shared" si="9"/>
        <v>0</v>
      </c>
      <c r="S45" s="35"/>
      <c r="T45" s="12"/>
      <c r="U45" s="68"/>
    </row>
    <row r="46" spans="1:21" s="54" customFormat="1" ht="13.5" customHeight="1">
      <c r="A46" s="47"/>
      <c r="B46" s="46"/>
      <c r="C46" s="46"/>
      <c r="D46" s="26" t="str">
        <f>IF(A46="","",VLOOKUP($C46,일람표!$A$2:$K$36,11,FALSE))</f>
        <v/>
      </c>
      <c r="E46" s="26" t="str">
        <f>IF(A46="","",VLOOKUP($C46,일람표!$A$2:$J$36,6,FALSE))</f>
        <v/>
      </c>
      <c r="F46" s="26" t="str">
        <f>IF(A46="","",RIGHT(VLOOKUP($C46,일람표!$A$1:$H$36,2,FALSE),5))</f>
        <v/>
      </c>
      <c r="G46" s="27">
        <f>SUMIF(일람표!$A$2:$A$36,C46,일람표!H$2:H$36)</f>
        <v>0</v>
      </c>
      <c r="H46" s="27">
        <f>SUMIF(일람표!$A$2:$A$36,C46,일람표!J$2:J$36)</f>
        <v>0</v>
      </c>
      <c r="I46" s="27">
        <f>SUMIF(일람표!$A$2:$A$36,C46,일람표!E$2:E$36)</f>
        <v>0</v>
      </c>
      <c r="J46" s="28"/>
      <c r="K46" s="29"/>
      <c r="L46" s="30"/>
      <c r="M46" s="30"/>
      <c r="N46" s="30"/>
      <c r="O46" s="31"/>
      <c r="P46" s="32">
        <f t="shared" si="6"/>
        <v>0</v>
      </c>
      <c r="Q46" s="33" t="str">
        <f t="shared" si="7"/>
        <v/>
      </c>
      <c r="R46" s="34">
        <f t="shared" si="9"/>
        <v>0</v>
      </c>
      <c r="S46" s="35"/>
      <c r="T46" s="12"/>
      <c r="U46" s="68"/>
    </row>
    <row r="47" spans="1:21" s="54" customFormat="1" ht="13.5" customHeight="1">
      <c r="A47" s="47"/>
      <c r="B47" s="46"/>
      <c r="C47" s="46"/>
      <c r="D47" s="26" t="str">
        <f>IF(A47="","",VLOOKUP($C47,일람표!$A$2:$K$36,11,FALSE))</f>
        <v/>
      </c>
      <c r="E47" s="26" t="str">
        <f>IF(A47="","",VLOOKUP($C47,일람표!$A$2:$J$36,6,FALSE))</f>
        <v/>
      </c>
      <c r="F47" s="26" t="str">
        <f>IF(A47="","",RIGHT(VLOOKUP($C47,일람표!$A$1:$H$36,2,FALSE),5))</f>
        <v/>
      </c>
      <c r="G47" s="27">
        <f>SUMIF(일람표!$A$2:$A$36,C47,일람표!H$2:H$36)</f>
        <v>0</v>
      </c>
      <c r="H47" s="27">
        <f>SUMIF(일람표!$A$2:$A$36,C47,일람표!J$2:J$36)</f>
        <v>0</v>
      </c>
      <c r="I47" s="27">
        <f>SUMIF(일람표!$A$2:$A$36,C47,일람표!E$2:E$36)</f>
        <v>0</v>
      </c>
      <c r="J47" s="28"/>
      <c r="K47" s="29"/>
      <c r="L47" s="30"/>
      <c r="M47" s="30"/>
      <c r="N47" s="30"/>
      <c r="O47" s="31"/>
      <c r="P47" s="32">
        <f t="shared" si="6"/>
        <v>0</v>
      </c>
      <c r="Q47" s="33" t="str">
        <f t="shared" si="7"/>
        <v/>
      </c>
      <c r="R47" s="34">
        <f t="shared" si="9"/>
        <v>0</v>
      </c>
      <c r="S47" s="35"/>
      <c r="T47" s="12"/>
      <c r="U47" s="68"/>
    </row>
    <row r="48" spans="1:21" s="54" customFormat="1" ht="13.5" customHeight="1">
      <c r="A48" s="47"/>
      <c r="B48" s="46"/>
      <c r="C48" s="46"/>
      <c r="D48" s="26" t="str">
        <f>IF(A48="","",VLOOKUP($C48,일람표!$A$2:$K$36,11,FALSE))</f>
        <v/>
      </c>
      <c r="E48" s="26" t="str">
        <f>IF(A48="","",VLOOKUP($C48,일람표!$A$2:$J$36,6,FALSE))</f>
        <v/>
      </c>
      <c r="F48" s="26" t="str">
        <f>IF(A48="","",RIGHT(VLOOKUP($C48,일람표!$A$1:$H$36,2,FALSE),5))</f>
        <v/>
      </c>
      <c r="G48" s="27">
        <f>SUMIF(일람표!$A$2:$A$36,C48,일람표!H$2:H$36)</f>
        <v>0</v>
      </c>
      <c r="H48" s="27">
        <f>SUMIF(일람표!$A$2:$A$36,C48,일람표!J$2:J$36)</f>
        <v>0</v>
      </c>
      <c r="I48" s="27">
        <f>SUMIF(일람표!$A$2:$A$36,C48,일람표!E$2:E$36)</f>
        <v>0</v>
      </c>
      <c r="J48" s="28"/>
      <c r="K48" s="29"/>
      <c r="L48" s="30"/>
      <c r="M48" s="30"/>
      <c r="N48" s="30"/>
      <c r="O48" s="31"/>
      <c r="P48" s="32">
        <f t="shared" si="6"/>
        <v>0</v>
      </c>
      <c r="Q48" s="33" t="str">
        <f t="shared" si="7"/>
        <v/>
      </c>
      <c r="R48" s="34">
        <f t="shared" si="9"/>
        <v>0</v>
      </c>
      <c r="S48" s="35"/>
      <c r="T48" s="12"/>
      <c r="U48" s="68"/>
    </row>
    <row r="49" spans="1:21" s="54" customFormat="1" ht="13.5" customHeight="1">
      <c r="A49" s="47"/>
      <c r="B49" s="46"/>
      <c r="C49" s="46"/>
      <c r="D49" s="26" t="str">
        <f>IF(A49="","",VLOOKUP($C49,일람표!$A$2:$K$36,11,FALSE))</f>
        <v/>
      </c>
      <c r="E49" s="26" t="str">
        <f>IF(A49="","",VLOOKUP($C49,일람표!$A$2:$J$36,6,FALSE))</f>
        <v/>
      </c>
      <c r="F49" s="26" t="str">
        <f>IF(A49="","",RIGHT(VLOOKUP($C49,일람표!$A$1:$H$36,2,FALSE),5))</f>
        <v/>
      </c>
      <c r="G49" s="27">
        <f>SUMIF(일람표!$A$2:$A$36,C49,일람표!H$2:H$36)</f>
        <v>0</v>
      </c>
      <c r="H49" s="27">
        <f>SUMIF(일람표!$A$2:$A$36,C49,일람표!J$2:J$36)</f>
        <v>0</v>
      </c>
      <c r="I49" s="27">
        <f>SUMIF(일람표!$A$2:$A$36,C49,일람표!E$2:E$36)</f>
        <v>0</v>
      </c>
      <c r="J49" s="28"/>
      <c r="K49" s="29"/>
      <c r="L49" s="30"/>
      <c r="M49" s="30"/>
      <c r="N49" s="30"/>
      <c r="O49" s="31"/>
      <c r="P49" s="32">
        <f t="shared" si="6"/>
        <v>0</v>
      </c>
      <c r="Q49" s="33" t="str">
        <f t="shared" ref="Q49:Q112" si="10">IF(A49="","",CONCATENATE(E49,F49,"-",G49))</f>
        <v/>
      </c>
      <c r="R49" s="34">
        <f t="shared" si="9"/>
        <v>0</v>
      </c>
      <c r="S49" s="35"/>
      <c r="T49" s="12"/>
      <c r="U49" s="68"/>
    </row>
    <row r="50" spans="1:21" s="54" customFormat="1" ht="13.5" customHeight="1">
      <c r="A50" s="47"/>
      <c r="B50" s="46"/>
      <c r="C50" s="46"/>
      <c r="D50" s="26" t="str">
        <f>IF(A50="","",VLOOKUP($C50,일람표!$A$2:$K$36,11,FALSE))</f>
        <v/>
      </c>
      <c r="E50" s="26" t="str">
        <f>IF(A50="","",VLOOKUP($C50,일람표!$A$2:$J$36,6,FALSE))</f>
        <v/>
      </c>
      <c r="F50" s="26" t="str">
        <f>IF(A50="","",RIGHT(VLOOKUP($C50,일람표!$A$1:$H$36,2,FALSE),5))</f>
        <v/>
      </c>
      <c r="G50" s="27">
        <f>SUMIF(일람표!$A$2:$A$36,C50,일람표!H$2:H$36)</f>
        <v>0</v>
      </c>
      <c r="H50" s="27">
        <f>SUMIF(일람표!$A$2:$A$36,C50,일람표!J$2:J$36)</f>
        <v>0</v>
      </c>
      <c r="I50" s="27">
        <f>SUMIF(일람표!$A$2:$A$36,C50,일람표!E$2:E$36)</f>
        <v>0</v>
      </c>
      <c r="J50" s="28"/>
      <c r="K50" s="29"/>
      <c r="L50" s="30"/>
      <c r="M50" s="30"/>
      <c r="N50" s="30"/>
      <c r="O50" s="31"/>
      <c r="P50" s="32">
        <f t="shared" si="6"/>
        <v>0</v>
      </c>
      <c r="Q50" s="33" t="str">
        <f t="shared" si="10"/>
        <v/>
      </c>
      <c r="R50" s="34">
        <f t="shared" si="9"/>
        <v>0</v>
      </c>
      <c r="S50" s="35"/>
      <c r="T50" s="12"/>
      <c r="U50" s="68"/>
    </row>
    <row r="51" spans="1:21" s="54" customFormat="1" ht="13.5" customHeight="1">
      <c r="A51" s="47"/>
      <c r="B51" s="46"/>
      <c r="C51" s="46"/>
      <c r="D51" s="26" t="str">
        <f>IF(A51="","",VLOOKUP($C51,일람표!$A$2:$K$36,11,FALSE))</f>
        <v/>
      </c>
      <c r="E51" s="26" t="str">
        <f>IF(A51="","",VLOOKUP($C51,일람표!$A$2:$J$36,6,FALSE))</f>
        <v/>
      </c>
      <c r="F51" s="26" t="str">
        <f>IF(A51="","",RIGHT(VLOOKUP($C51,일람표!$A$1:$H$36,2,FALSE),5))</f>
        <v/>
      </c>
      <c r="G51" s="27">
        <f>SUMIF(일람표!$A$2:$A$36,C51,일람표!H$2:H$36)</f>
        <v>0</v>
      </c>
      <c r="H51" s="27">
        <f>SUMIF(일람표!$A$2:$A$36,C51,일람표!J$2:J$36)</f>
        <v>0</v>
      </c>
      <c r="I51" s="27">
        <f>SUMIF(일람표!$A$2:$A$36,C51,일람표!E$2:E$36)</f>
        <v>0</v>
      </c>
      <c r="J51" s="28"/>
      <c r="K51" s="29"/>
      <c r="L51" s="30"/>
      <c r="M51" s="30"/>
      <c r="N51" s="30"/>
      <c r="O51" s="31"/>
      <c r="P51" s="32">
        <f t="shared" si="6"/>
        <v>0</v>
      </c>
      <c r="Q51" s="33" t="str">
        <f t="shared" si="10"/>
        <v/>
      </c>
      <c r="R51" s="34">
        <f t="shared" si="9"/>
        <v>0</v>
      </c>
      <c r="S51" s="35"/>
      <c r="T51" s="12"/>
      <c r="U51" s="68"/>
    </row>
    <row r="52" spans="1:21" s="54" customFormat="1" ht="13.5" customHeight="1">
      <c r="A52" s="47"/>
      <c r="B52" s="46"/>
      <c r="C52" s="46"/>
      <c r="D52" s="26" t="str">
        <f>IF(A52="","",VLOOKUP($C52,일람표!$A$2:$K$36,11,FALSE))</f>
        <v/>
      </c>
      <c r="E52" s="26" t="str">
        <f>IF(A52="","",VLOOKUP($C52,일람표!$A$2:$J$36,6,FALSE))</f>
        <v/>
      </c>
      <c r="F52" s="26" t="str">
        <f>IF(A52="","",RIGHT(VLOOKUP($C52,일람표!$A$1:$H$36,2,FALSE),5))</f>
        <v/>
      </c>
      <c r="G52" s="27">
        <f>SUMIF(일람표!$A$2:$A$36,C52,일람표!H$2:H$36)</f>
        <v>0</v>
      </c>
      <c r="H52" s="27">
        <f>SUMIF(일람표!$A$2:$A$36,C52,일람표!J$2:J$36)</f>
        <v>0</v>
      </c>
      <c r="I52" s="27">
        <f>SUMIF(일람표!$A$2:$A$36,C52,일람표!E$2:E$36)</f>
        <v>0</v>
      </c>
      <c r="J52" s="28"/>
      <c r="K52" s="29"/>
      <c r="L52" s="30"/>
      <c r="M52" s="30"/>
      <c r="N52" s="30"/>
      <c r="O52" s="31"/>
      <c r="P52" s="32">
        <f t="shared" si="6"/>
        <v>0</v>
      </c>
      <c r="Q52" s="33" t="str">
        <f t="shared" si="10"/>
        <v/>
      </c>
      <c r="R52" s="34">
        <f t="shared" si="9"/>
        <v>0</v>
      </c>
      <c r="S52" s="35"/>
      <c r="T52" s="12"/>
      <c r="U52" s="68"/>
    </row>
    <row r="53" spans="1:21" s="54" customFormat="1" ht="13.5" customHeight="1">
      <c r="A53" s="47"/>
      <c r="B53" s="46"/>
      <c r="C53" s="46"/>
      <c r="D53" s="26" t="str">
        <f>IF(A53="","",VLOOKUP($C53,일람표!$A$2:$K$36,11,FALSE))</f>
        <v/>
      </c>
      <c r="E53" s="26" t="str">
        <f>IF(A53="","",VLOOKUP($C53,일람표!$A$2:$J$36,6,FALSE))</f>
        <v/>
      </c>
      <c r="F53" s="26" t="str">
        <f>IF(A53="","",RIGHT(VLOOKUP($C53,일람표!$A$1:$H$36,2,FALSE),5))</f>
        <v/>
      </c>
      <c r="G53" s="27">
        <f>SUMIF(일람표!$A$2:$A$36,C53,일람표!H$2:H$36)</f>
        <v>0</v>
      </c>
      <c r="H53" s="27">
        <f>SUMIF(일람표!$A$2:$A$36,C53,일람표!J$2:J$36)</f>
        <v>0</v>
      </c>
      <c r="I53" s="27">
        <f>SUMIF(일람표!$A$2:$A$36,C53,일람표!E$2:E$36)</f>
        <v>0</v>
      </c>
      <c r="J53" s="28"/>
      <c r="K53" s="29"/>
      <c r="L53" s="30"/>
      <c r="M53" s="30"/>
      <c r="N53" s="30"/>
      <c r="O53" s="31"/>
      <c r="P53" s="32">
        <f t="shared" si="6"/>
        <v>0</v>
      </c>
      <c r="Q53" s="33" t="str">
        <f t="shared" si="10"/>
        <v/>
      </c>
      <c r="R53" s="34">
        <f t="shared" si="9"/>
        <v>0</v>
      </c>
      <c r="S53" s="35"/>
      <c r="T53" s="12"/>
      <c r="U53" s="68"/>
    </row>
    <row r="54" spans="1:21" s="54" customFormat="1" ht="13.5" customHeight="1">
      <c r="A54" s="47"/>
      <c r="B54" s="46"/>
      <c r="C54" s="46"/>
      <c r="D54" s="26" t="str">
        <f>IF(A54="","",VLOOKUP($C54,일람표!$A$2:$K$36,11,FALSE))</f>
        <v/>
      </c>
      <c r="E54" s="26" t="str">
        <f>IF(A54="","",VLOOKUP($C54,일람표!$A$2:$J$36,6,FALSE))</f>
        <v/>
      </c>
      <c r="F54" s="26" t="str">
        <f>IF(A54="","",RIGHT(VLOOKUP($C54,일람표!$A$1:$H$36,2,FALSE),5))</f>
        <v/>
      </c>
      <c r="G54" s="27">
        <f>SUMIF(일람표!$A$2:$A$36,C54,일람표!H$2:H$36)</f>
        <v>0</v>
      </c>
      <c r="H54" s="27">
        <f>SUMIF(일람표!$A$2:$A$36,C54,일람표!J$2:J$36)</f>
        <v>0</v>
      </c>
      <c r="I54" s="27">
        <f>SUMIF(일람표!$A$2:$A$36,C54,일람표!E$2:E$36)</f>
        <v>0</v>
      </c>
      <c r="J54" s="28"/>
      <c r="K54" s="29"/>
      <c r="L54" s="30"/>
      <c r="M54" s="30"/>
      <c r="N54" s="30"/>
      <c r="O54" s="31"/>
      <c r="P54" s="32">
        <f t="shared" si="6"/>
        <v>0</v>
      </c>
      <c r="Q54" s="33" t="str">
        <f t="shared" si="10"/>
        <v/>
      </c>
      <c r="R54" s="34">
        <f t="shared" si="9"/>
        <v>0</v>
      </c>
      <c r="S54" s="35"/>
      <c r="T54" s="12"/>
      <c r="U54" s="68"/>
    </row>
    <row r="55" spans="1:21" s="54" customFormat="1" ht="13.5" customHeight="1">
      <c r="A55" s="47"/>
      <c r="B55" s="46"/>
      <c r="C55" s="46"/>
      <c r="D55" s="26" t="str">
        <f>IF(A55="","",VLOOKUP($C55,일람표!$A$2:$K$36,11,FALSE))</f>
        <v/>
      </c>
      <c r="E55" s="26" t="str">
        <f>IF(A55="","",VLOOKUP($C55,일람표!$A$2:$J$36,6,FALSE))</f>
        <v/>
      </c>
      <c r="F55" s="26" t="str">
        <f>IF(A55="","",RIGHT(VLOOKUP($C55,일람표!$A$1:$H$36,2,FALSE),5))</f>
        <v/>
      </c>
      <c r="G55" s="27">
        <f>SUMIF(일람표!$A$2:$A$36,C55,일람표!H$2:H$36)</f>
        <v>0</v>
      </c>
      <c r="H55" s="27">
        <f>SUMIF(일람표!$A$2:$A$36,C55,일람표!J$2:J$36)</f>
        <v>0</v>
      </c>
      <c r="I55" s="27">
        <f>SUMIF(일람표!$A$2:$A$36,C55,일람표!E$2:E$36)</f>
        <v>0</v>
      </c>
      <c r="J55" s="28"/>
      <c r="K55" s="29"/>
      <c r="L55" s="30"/>
      <c r="M55" s="30"/>
      <c r="N55" s="30"/>
      <c r="O55" s="31"/>
      <c r="P55" s="32">
        <f t="shared" si="6"/>
        <v>0</v>
      </c>
      <c r="Q55" s="33" t="str">
        <f t="shared" si="10"/>
        <v/>
      </c>
      <c r="R55" s="34">
        <f t="shared" si="9"/>
        <v>0</v>
      </c>
      <c r="S55" s="35"/>
      <c r="T55" s="12"/>
      <c r="U55" s="68"/>
    </row>
    <row r="56" spans="1:21" s="54" customFormat="1" ht="13.5" customHeight="1">
      <c r="A56" s="47"/>
      <c r="B56" s="46"/>
      <c r="C56" s="46"/>
      <c r="D56" s="26" t="str">
        <f>IF(A56="","",VLOOKUP($C56,일람표!$A$2:$K$36,11,FALSE))</f>
        <v/>
      </c>
      <c r="E56" s="26" t="str">
        <f>IF(A56="","",VLOOKUP($C56,일람표!$A$2:$J$36,6,FALSE))</f>
        <v/>
      </c>
      <c r="F56" s="26" t="str">
        <f>IF(A56="","",RIGHT(VLOOKUP($C56,일람표!$A$1:$H$36,2,FALSE),5))</f>
        <v/>
      </c>
      <c r="G56" s="27">
        <f>SUMIF(일람표!$A$2:$A$36,C56,일람표!H$2:H$36)</f>
        <v>0</v>
      </c>
      <c r="H56" s="27">
        <f>SUMIF(일람표!$A$2:$A$36,C56,일람표!J$2:J$36)</f>
        <v>0</v>
      </c>
      <c r="I56" s="27">
        <f>SUMIF(일람표!$A$2:$A$36,C56,일람표!E$2:E$36)</f>
        <v>0</v>
      </c>
      <c r="J56" s="28"/>
      <c r="K56" s="29"/>
      <c r="L56" s="30"/>
      <c r="M56" s="30"/>
      <c r="N56" s="30"/>
      <c r="O56" s="31"/>
      <c r="P56" s="32">
        <f t="shared" si="6"/>
        <v>0</v>
      </c>
      <c r="Q56" s="33" t="str">
        <f t="shared" si="10"/>
        <v/>
      </c>
      <c r="R56" s="34">
        <f t="shared" si="9"/>
        <v>0</v>
      </c>
      <c r="S56" s="35"/>
      <c r="T56" s="12"/>
      <c r="U56" s="68"/>
    </row>
    <row r="57" spans="1:21" s="54" customFormat="1" ht="13.5" customHeight="1">
      <c r="A57" s="47"/>
      <c r="B57" s="46"/>
      <c r="C57" s="46"/>
      <c r="D57" s="26" t="str">
        <f>IF(A57="","",VLOOKUP($C57,일람표!$A$2:$K$36,11,FALSE))</f>
        <v/>
      </c>
      <c r="E57" s="26" t="str">
        <f>IF(A57="","",VLOOKUP($C57,일람표!$A$2:$J$36,6,FALSE))</f>
        <v/>
      </c>
      <c r="F57" s="26" t="str">
        <f>IF(A57="","",RIGHT(VLOOKUP($C57,일람표!$A$1:$H$36,2,FALSE),5))</f>
        <v/>
      </c>
      <c r="G57" s="27">
        <f>SUMIF(일람표!$A$2:$A$36,C57,일람표!H$2:H$36)</f>
        <v>0</v>
      </c>
      <c r="H57" s="27">
        <f>SUMIF(일람표!$A$2:$A$36,C57,일람표!J$2:J$36)</f>
        <v>0</v>
      </c>
      <c r="I57" s="27">
        <f>SUMIF(일람표!$A$2:$A$36,C57,일람표!E$2:E$36)</f>
        <v>0</v>
      </c>
      <c r="J57" s="28"/>
      <c r="K57" s="29"/>
      <c r="L57" s="30"/>
      <c r="M57" s="30"/>
      <c r="N57" s="30"/>
      <c r="O57" s="31"/>
      <c r="P57" s="32">
        <f t="shared" si="6"/>
        <v>0</v>
      </c>
      <c r="Q57" s="33" t="str">
        <f t="shared" si="10"/>
        <v/>
      </c>
      <c r="R57" s="34">
        <f t="shared" si="9"/>
        <v>0</v>
      </c>
      <c r="S57" s="35"/>
      <c r="T57" s="12"/>
      <c r="U57" s="68"/>
    </row>
    <row r="58" spans="1:21" s="54" customFormat="1" ht="13.5" customHeight="1">
      <c r="A58" s="47"/>
      <c r="B58" s="46"/>
      <c r="C58" s="46"/>
      <c r="D58" s="26" t="str">
        <f>IF(A58="","",VLOOKUP($C58,일람표!$A$2:$K$36,11,FALSE))</f>
        <v/>
      </c>
      <c r="E58" s="26" t="str">
        <f>IF(A58="","",VLOOKUP($C58,일람표!$A$2:$J$36,6,FALSE))</f>
        <v/>
      </c>
      <c r="F58" s="26" t="str">
        <f>IF(A58="","",RIGHT(VLOOKUP($C58,일람표!$A$1:$H$36,2,FALSE),5))</f>
        <v/>
      </c>
      <c r="G58" s="27">
        <f>SUMIF(일람표!$A$2:$A$36,C58,일람표!H$2:H$36)</f>
        <v>0</v>
      </c>
      <c r="H58" s="27">
        <f>SUMIF(일람표!$A$2:$A$36,C58,일람표!J$2:J$36)</f>
        <v>0</v>
      </c>
      <c r="I58" s="27">
        <f>SUMIF(일람표!$A$2:$A$36,C58,일람표!E$2:E$36)</f>
        <v>0</v>
      </c>
      <c r="J58" s="28"/>
      <c r="K58" s="29"/>
      <c r="L58" s="30"/>
      <c r="M58" s="30"/>
      <c r="N58" s="30"/>
      <c r="O58" s="31"/>
      <c r="P58" s="32">
        <f t="shared" si="6"/>
        <v>0</v>
      </c>
      <c r="Q58" s="33" t="str">
        <f t="shared" si="10"/>
        <v/>
      </c>
      <c r="R58" s="34">
        <f t="shared" si="9"/>
        <v>0</v>
      </c>
      <c r="S58" s="35"/>
      <c r="T58" s="12"/>
      <c r="U58" s="68"/>
    </row>
    <row r="59" spans="1:21" s="54" customFormat="1" ht="13.5" customHeight="1">
      <c r="A59" s="47"/>
      <c r="B59" s="46"/>
      <c r="C59" s="46"/>
      <c r="D59" s="26" t="str">
        <f>IF(A59="","",VLOOKUP($C59,일람표!$A$2:$K$36,11,FALSE))</f>
        <v/>
      </c>
      <c r="E59" s="26" t="str">
        <f>IF(A59="","",VLOOKUP($C59,일람표!$A$2:$J$36,6,FALSE))</f>
        <v/>
      </c>
      <c r="F59" s="26" t="str">
        <f>IF(A59="","",RIGHT(VLOOKUP($C59,일람표!$A$1:$H$36,2,FALSE),5))</f>
        <v/>
      </c>
      <c r="G59" s="27">
        <f>SUMIF(일람표!$A$2:$A$36,C59,일람표!H$2:H$36)</f>
        <v>0</v>
      </c>
      <c r="H59" s="27">
        <f>SUMIF(일람표!$A$2:$A$36,C59,일람표!J$2:J$36)</f>
        <v>0</v>
      </c>
      <c r="I59" s="27">
        <f>SUMIF(일람표!$A$2:$A$36,C59,일람표!E$2:E$36)</f>
        <v>0</v>
      </c>
      <c r="J59" s="28"/>
      <c r="K59" s="29"/>
      <c r="L59" s="30"/>
      <c r="M59" s="30"/>
      <c r="N59" s="30"/>
      <c r="O59" s="31"/>
      <c r="P59" s="32">
        <f t="shared" si="6"/>
        <v>0</v>
      </c>
      <c r="Q59" s="33" t="str">
        <f t="shared" si="10"/>
        <v/>
      </c>
      <c r="R59" s="34">
        <f t="shared" si="9"/>
        <v>0</v>
      </c>
      <c r="S59" s="35"/>
      <c r="T59" s="12"/>
      <c r="U59" s="68"/>
    </row>
    <row r="60" spans="1:21" s="54" customFormat="1" ht="13.5" customHeight="1">
      <c r="A60" s="47"/>
      <c r="B60" s="46"/>
      <c r="C60" s="46"/>
      <c r="D60" s="26" t="str">
        <f>IF(A60="","",VLOOKUP($C60,일람표!$A$2:$K$36,11,FALSE))</f>
        <v/>
      </c>
      <c r="E60" s="26" t="str">
        <f>IF(A60="","",VLOOKUP($C60,일람표!$A$2:$J$36,6,FALSE))</f>
        <v/>
      </c>
      <c r="F60" s="26" t="str">
        <f>IF(A60="","",RIGHT(VLOOKUP($C60,일람표!$A$1:$H$36,2,FALSE),5))</f>
        <v/>
      </c>
      <c r="G60" s="27">
        <f>SUMIF(일람표!$A$2:$A$36,C60,일람표!H$2:H$36)</f>
        <v>0</v>
      </c>
      <c r="H60" s="27">
        <f>SUMIF(일람표!$A$2:$A$36,C60,일람표!J$2:J$36)</f>
        <v>0</v>
      </c>
      <c r="I60" s="27">
        <f>SUMIF(일람표!$A$2:$A$36,C60,일람표!E$2:E$36)</f>
        <v>0</v>
      </c>
      <c r="J60" s="28"/>
      <c r="K60" s="29"/>
      <c r="L60" s="30"/>
      <c r="M60" s="30"/>
      <c r="N60" s="30"/>
      <c r="O60" s="31"/>
      <c r="P60" s="32">
        <f t="shared" si="6"/>
        <v>0</v>
      </c>
      <c r="Q60" s="33" t="str">
        <f t="shared" si="10"/>
        <v/>
      </c>
      <c r="R60" s="34">
        <f t="shared" si="9"/>
        <v>0</v>
      </c>
      <c r="S60" s="35"/>
      <c r="T60" s="12"/>
      <c r="U60" s="68"/>
    </row>
    <row r="61" spans="1:21" s="54" customFormat="1" ht="13.5" customHeight="1">
      <c r="A61" s="47"/>
      <c r="B61" s="46"/>
      <c r="C61" s="46"/>
      <c r="D61" s="26" t="str">
        <f>IF(A61="","",VLOOKUP($C61,일람표!$A$2:$K$36,11,FALSE))</f>
        <v/>
      </c>
      <c r="E61" s="26" t="str">
        <f>IF(A61="","",VLOOKUP($C61,일람표!$A$2:$J$36,6,FALSE))</f>
        <v/>
      </c>
      <c r="F61" s="26" t="str">
        <f>IF(A61="","",RIGHT(VLOOKUP($C61,일람표!$A$1:$H$36,2,FALSE),5))</f>
        <v/>
      </c>
      <c r="G61" s="27">
        <f>SUMIF(일람표!$A$2:$A$36,C61,일람표!H$2:H$36)</f>
        <v>0</v>
      </c>
      <c r="H61" s="27">
        <f>SUMIF(일람표!$A$2:$A$36,C61,일람표!J$2:J$36)</f>
        <v>0</v>
      </c>
      <c r="I61" s="27">
        <f>SUMIF(일람표!$A$2:$A$36,C61,일람표!E$2:E$36)</f>
        <v>0</v>
      </c>
      <c r="J61" s="28"/>
      <c r="K61" s="29"/>
      <c r="L61" s="30"/>
      <c r="M61" s="30"/>
      <c r="N61" s="30"/>
      <c r="O61" s="31"/>
      <c r="P61" s="32">
        <f t="shared" si="6"/>
        <v>0</v>
      </c>
      <c r="Q61" s="33" t="str">
        <f t="shared" si="10"/>
        <v/>
      </c>
      <c r="R61" s="34">
        <f t="shared" si="9"/>
        <v>0</v>
      </c>
      <c r="S61" s="35"/>
      <c r="T61" s="12"/>
      <c r="U61" s="68"/>
    </row>
    <row r="62" spans="1:21" s="54" customFormat="1" ht="13.5" customHeight="1">
      <c r="A62" s="47"/>
      <c r="B62" s="46"/>
      <c r="C62" s="46"/>
      <c r="D62" s="26" t="str">
        <f>IF(A62="","",VLOOKUP($C62,일람표!$A$2:$K$36,11,FALSE))</f>
        <v/>
      </c>
      <c r="E62" s="26" t="str">
        <f>IF(A62="","",VLOOKUP($C62,일람표!$A$2:$J$36,6,FALSE))</f>
        <v/>
      </c>
      <c r="F62" s="26" t="str">
        <f>IF(A62="","",RIGHT(VLOOKUP($C62,일람표!$A$1:$H$36,2,FALSE),5))</f>
        <v/>
      </c>
      <c r="G62" s="27">
        <f>SUMIF(일람표!$A$2:$A$36,C62,일람표!H$2:H$36)</f>
        <v>0</v>
      </c>
      <c r="H62" s="27">
        <f>SUMIF(일람표!$A$2:$A$36,C62,일람표!J$2:J$36)</f>
        <v>0</v>
      </c>
      <c r="I62" s="27">
        <f>SUMIF(일람표!$A$2:$A$36,C62,일람표!E$2:E$36)</f>
        <v>0</v>
      </c>
      <c r="J62" s="28"/>
      <c r="K62" s="29"/>
      <c r="L62" s="30"/>
      <c r="M62" s="30"/>
      <c r="N62" s="30"/>
      <c r="O62" s="31"/>
      <c r="P62" s="32">
        <f t="shared" si="6"/>
        <v>0</v>
      </c>
      <c r="Q62" s="33" t="str">
        <f t="shared" si="10"/>
        <v/>
      </c>
      <c r="R62" s="34">
        <f t="shared" si="9"/>
        <v>0</v>
      </c>
      <c r="S62" s="35"/>
      <c r="T62" s="12"/>
      <c r="U62" s="68"/>
    </row>
    <row r="63" spans="1:21" s="54" customFormat="1" ht="13.5" customHeight="1">
      <c r="A63" s="47"/>
      <c r="B63" s="46"/>
      <c r="C63" s="46"/>
      <c r="D63" s="26" t="str">
        <f>IF(A63="","",VLOOKUP($C63,일람표!$A$2:$K$36,11,FALSE))</f>
        <v/>
      </c>
      <c r="E63" s="26" t="str">
        <f>IF(A63="","",VLOOKUP($C63,일람표!$A$2:$J$36,6,FALSE))</f>
        <v/>
      </c>
      <c r="F63" s="26" t="str">
        <f>IF(A63="","",RIGHT(VLOOKUP($C63,일람표!$A$1:$H$36,2,FALSE),5))</f>
        <v/>
      </c>
      <c r="G63" s="27">
        <f>SUMIF(일람표!$A$2:$A$36,C63,일람표!H$2:H$36)</f>
        <v>0</v>
      </c>
      <c r="H63" s="27">
        <f>SUMIF(일람표!$A$2:$A$36,C63,일람표!J$2:J$36)</f>
        <v>0</v>
      </c>
      <c r="I63" s="27">
        <f>SUMIF(일람표!$A$2:$A$36,C63,일람표!E$2:E$36)</f>
        <v>0</v>
      </c>
      <c r="J63" s="28"/>
      <c r="K63" s="29"/>
      <c r="L63" s="30"/>
      <c r="M63" s="30"/>
      <c r="N63" s="30"/>
      <c r="O63" s="31"/>
      <c r="P63" s="32">
        <f t="shared" si="6"/>
        <v>0</v>
      </c>
      <c r="Q63" s="33" t="str">
        <f t="shared" si="10"/>
        <v/>
      </c>
      <c r="R63" s="34">
        <f t="shared" si="9"/>
        <v>0</v>
      </c>
      <c r="S63" s="35"/>
      <c r="T63" s="12"/>
      <c r="U63" s="68"/>
    </row>
    <row r="64" spans="1:21" s="54" customFormat="1" ht="13.5" customHeight="1">
      <c r="A64" s="47"/>
      <c r="B64" s="46"/>
      <c r="C64" s="46"/>
      <c r="D64" s="26" t="str">
        <f>IF(A64="","",VLOOKUP($C64,일람표!$A$2:$K$36,11,FALSE))</f>
        <v/>
      </c>
      <c r="E64" s="26" t="str">
        <f>IF(A64="","",VLOOKUP($C64,일람표!$A$2:$J$36,6,FALSE))</f>
        <v/>
      </c>
      <c r="F64" s="26" t="str">
        <f>IF(A64="","",RIGHT(VLOOKUP($C64,일람표!$A$1:$H$36,2,FALSE),5))</f>
        <v/>
      </c>
      <c r="G64" s="27">
        <f>SUMIF(일람표!$A$2:$A$36,C64,일람표!H$2:H$36)</f>
        <v>0</v>
      </c>
      <c r="H64" s="27">
        <f>SUMIF(일람표!$A$2:$A$36,C64,일람표!J$2:J$36)</f>
        <v>0</v>
      </c>
      <c r="I64" s="27">
        <f>SUMIF(일람표!$A$2:$A$36,C64,일람표!E$2:E$36)</f>
        <v>0</v>
      </c>
      <c r="J64" s="28"/>
      <c r="K64" s="29"/>
      <c r="L64" s="30"/>
      <c r="M64" s="30"/>
      <c r="N64" s="30"/>
      <c r="O64" s="31"/>
      <c r="P64" s="32">
        <f t="shared" si="6"/>
        <v>0</v>
      </c>
      <c r="Q64" s="33" t="str">
        <f t="shared" si="10"/>
        <v/>
      </c>
      <c r="R64" s="34">
        <f t="shared" si="9"/>
        <v>0</v>
      </c>
      <c r="S64" s="35"/>
      <c r="T64" s="12"/>
    </row>
    <row r="65" spans="1:20" s="54" customFormat="1" ht="13.5" customHeight="1">
      <c r="A65" s="47"/>
      <c r="B65" s="46"/>
      <c r="C65" s="46"/>
      <c r="D65" s="26" t="str">
        <f>IF(A65="","",VLOOKUP($C65,일람표!$A$2:$K$36,11,FALSE))</f>
        <v/>
      </c>
      <c r="E65" s="26" t="str">
        <f>IF(A65="","",VLOOKUP($C65,일람표!$A$2:$J$36,6,FALSE))</f>
        <v/>
      </c>
      <c r="F65" s="26" t="str">
        <f>IF(A65="","",RIGHT(VLOOKUP($C65,일람표!$A$1:$H$36,2,FALSE),5))</f>
        <v/>
      </c>
      <c r="G65" s="27">
        <f>SUMIF(일람표!$A$2:$A$36,C65,일람표!H$2:H$36)</f>
        <v>0</v>
      </c>
      <c r="H65" s="27">
        <f>SUMIF(일람표!$A$2:$A$36,C65,일람표!J$2:J$36)</f>
        <v>0</v>
      </c>
      <c r="I65" s="27">
        <f>SUMIF(일람표!$A$2:$A$36,C65,일람표!E$2:E$36)</f>
        <v>0</v>
      </c>
      <c r="J65" s="28"/>
      <c r="K65" s="29"/>
      <c r="L65" s="30"/>
      <c r="M65" s="30"/>
      <c r="N65" s="30"/>
      <c r="O65" s="31"/>
      <c r="P65" s="32">
        <f t="shared" si="6"/>
        <v>0</v>
      </c>
      <c r="Q65" s="33" t="str">
        <f t="shared" si="10"/>
        <v/>
      </c>
      <c r="R65" s="34">
        <f t="shared" si="9"/>
        <v>0</v>
      </c>
      <c r="S65" s="35"/>
      <c r="T65" s="12"/>
    </row>
    <row r="66" spans="1:20" s="54" customFormat="1" ht="13.5" customHeight="1">
      <c r="A66" s="47"/>
      <c r="B66" s="46"/>
      <c r="C66" s="46"/>
      <c r="D66" s="26" t="str">
        <f>IF(A66="","",VLOOKUP($C66,일람표!$A$2:$K$36,11,FALSE))</f>
        <v/>
      </c>
      <c r="E66" s="26" t="str">
        <f>IF(A66="","",VLOOKUP($C66,일람표!$A$2:$J$36,6,FALSE))</f>
        <v/>
      </c>
      <c r="F66" s="26" t="str">
        <f>IF(A66="","",RIGHT(VLOOKUP($C66,일람표!$A$1:$H$36,2,FALSE),5))</f>
        <v/>
      </c>
      <c r="G66" s="27">
        <f>SUMIF(일람표!$A$2:$A$36,C66,일람표!H$2:H$36)</f>
        <v>0</v>
      </c>
      <c r="H66" s="27">
        <f>SUMIF(일람표!$A$2:$A$36,C66,일람표!J$2:J$36)</f>
        <v>0</v>
      </c>
      <c r="I66" s="27">
        <f>SUMIF(일람표!$A$2:$A$36,C66,일람표!E$2:E$36)</f>
        <v>0</v>
      </c>
      <c r="J66" s="28"/>
      <c r="K66" s="29"/>
      <c r="L66" s="30"/>
      <c r="M66" s="30"/>
      <c r="N66" s="30"/>
      <c r="O66" s="31"/>
      <c r="P66" s="32">
        <f t="shared" si="6"/>
        <v>0</v>
      </c>
      <c r="Q66" s="33" t="str">
        <f t="shared" si="10"/>
        <v/>
      </c>
      <c r="R66" s="34">
        <f t="shared" si="9"/>
        <v>0</v>
      </c>
      <c r="S66" s="35"/>
      <c r="T66" s="12"/>
    </row>
    <row r="67" spans="1:20" s="54" customFormat="1" ht="13.5" customHeight="1">
      <c r="A67" s="47"/>
      <c r="B67" s="46"/>
      <c r="C67" s="46"/>
      <c r="D67" s="26" t="str">
        <f>IF(A67="","",VLOOKUP($C67,일람표!$A$2:$K$36,11,FALSE))</f>
        <v/>
      </c>
      <c r="E67" s="26" t="str">
        <f>IF(A67="","",VLOOKUP($C67,일람표!$A$2:$J$36,6,FALSE))</f>
        <v/>
      </c>
      <c r="F67" s="26" t="str">
        <f>IF(A67="","",RIGHT(VLOOKUP($C67,일람표!$A$1:$H$36,2,FALSE),5))</f>
        <v/>
      </c>
      <c r="G67" s="27">
        <f>SUMIF(일람표!$A$2:$A$36,C67,일람표!H$2:H$36)</f>
        <v>0</v>
      </c>
      <c r="H67" s="27">
        <f>SUMIF(일람표!$A$2:$A$36,C67,일람표!J$2:J$36)</f>
        <v>0</v>
      </c>
      <c r="I67" s="27">
        <f>SUMIF(일람표!$A$2:$A$36,C67,일람표!E$2:E$36)</f>
        <v>0</v>
      </c>
      <c r="J67" s="28"/>
      <c r="K67" s="29"/>
      <c r="L67" s="30"/>
      <c r="M67" s="30"/>
      <c r="N67" s="30"/>
      <c r="O67" s="31"/>
      <c r="P67" s="32">
        <f t="shared" ref="P67:P130" si="11">K67+L67+M67+N67+O67</f>
        <v>0</v>
      </c>
      <c r="Q67" s="33" t="str">
        <f t="shared" si="10"/>
        <v/>
      </c>
      <c r="R67" s="34">
        <f t="shared" si="9"/>
        <v>0</v>
      </c>
      <c r="S67" s="35"/>
      <c r="T67" s="12"/>
    </row>
    <row r="68" spans="1:20" s="54" customFormat="1" ht="13.5" customHeight="1">
      <c r="A68" s="47"/>
      <c r="B68" s="46"/>
      <c r="C68" s="46"/>
      <c r="D68" s="26" t="str">
        <f>IF(A68="","",VLOOKUP($C68,일람표!$A$2:$K$36,11,FALSE))</f>
        <v/>
      </c>
      <c r="E68" s="26" t="str">
        <f>IF(A68="","",VLOOKUP($C68,일람표!$A$2:$J$36,6,FALSE))</f>
        <v/>
      </c>
      <c r="F68" s="26" t="str">
        <f>IF(A68="","",RIGHT(VLOOKUP($C68,일람표!$A$1:$H$36,2,FALSE),5))</f>
        <v/>
      </c>
      <c r="G68" s="27">
        <f>SUMIF(일람표!$A$2:$A$36,C68,일람표!H$2:H$36)</f>
        <v>0</v>
      </c>
      <c r="H68" s="27">
        <f>SUMIF(일람표!$A$2:$A$36,C68,일람표!J$2:J$36)</f>
        <v>0</v>
      </c>
      <c r="I68" s="27">
        <f>SUMIF(일람표!$A$2:$A$36,C68,일람표!E$2:E$36)</f>
        <v>0</v>
      </c>
      <c r="J68" s="28"/>
      <c r="K68" s="29"/>
      <c r="L68" s="30"/>
      <c r="M68" s="30"/>
      <c r="N68" s="30"/>
      <c r="O68" s="31"/>
      <c r="P68" s="32">
        <f t="shared" si="11"/>
        <v>0</v>
      </c>
      <c r="Q68" s="33" t="str">
        <f t="shared" si="10"/>
        <v/>
      </c>
      <c r="R68" s="34">
        <f t="shared" si="9"/>
        <v>0</v>
      </c>
      <c r="S68" s="35"/>
      <c r="T68" s="12"/>
    </row>
    <row r="69" spans="1:20" s="54" customFormat="1" ht="13.5" customHeight="1">
      <c r="A69" s="47"/>
      <c r="B69" s="46"/>
      <c r="C69" s="46"/>
      <c r="D69" s="26" t="str">
        <f>IF(A69="","",VLOOKUP($C69,일람표!$A$2:$K$36,11,FALSE))</f>
        <v/>
      </c>
      <c r="E69" s="26" t="str">
        <f>IF(A69="","",VLOOKUP($C69,일람표!$A$2:$J$36,6,FALSE))</f>
        <v/>
      </c>
      <c r="F69" s="26" t="str">
        <f>IF(A69="","",RIGHT(VLOOKUP($C69,일람표!$A$1:$H$36,2,FALSE),5))</f>
        <v/>
      </c>
      <c r="G69" s="27">
        <f>SUMIF(일람표!$A$2:$A$36,C69,일람표!H$2:H$36)</f>
        <v>0</v>
      </c>
      <c r="H69" s="27">
        <f>SUMIF(일람표!$A$2:$A$36,C69,일람표!J$2:J$36)</f>
        <v>0</v>
      </c>
      <c r="I69" s="27">
        <f>SUMIF(일람표!$A$2:$A$36,C69,일람표!E$2:E$36)</f>
        <v>0</v>
      </c>
      <c r="J69" s="28"/>
      <c r="K69" s="29"/>
      <c r="L69" s="30"/>
      <c r="M69" s="30"/>
      <c r="N69" s="30"/>
      <c r="O69" s="31"/>
      <c r="P69" s="32">
        <f t="shared" si="11"/>
        <v>0</v>
      </c>
      <c r="Q69" s="33" t="str">
        <f t="shared" si="10"/>
        <v/>
      </c>
      <c r="R69" s="34">
        <f t="shared" si="9"/>
        <v>0</v>
      </c>
      <c r="S69" s="35"/>
      <c r="T69" s="12"/>
    </row>
    <row r="70" spans="1:20" s="54" customFormat="1" ht="13.5" customHeight="1">
      <c r="A70" s="47"/>
      <c r="B70" s="46"/>
      <c r="C70" s="46"/>
      <c r="D70" s="26" t="str">
        <f>IF(A70="","",VLOOKUP($C70,일람표!$A$2:$K$36,11,FALSE))</f>
        <v/>
      </c>
      <c r="E70" s="26" t="str">
        <f>IF(A70="","",VLOOKUP($C70,일람표!$A$2:$J$36,6,FALSE))</f>
        <v/>
      </c>
      <c r="F70" s="26" t="str">
        <f>IF(A70="","",RIGHT(VLOOKUP($C70,일람표!$A$1:$H$36,2,FALSE),5))</f>
        <v/>
      </c>
      <c r="G70" s="27">
        <f>SUMIF(일람표!$A$2:$A$36,C70,일람표!H$2:H$36)</f>
        <v>0</v>
      </c>
      <c r="H70" s="27">
        <f>SUMIF(일람표!$A$2:$A$36,C70,일람표!J$2:J$36)</f>
        <v>0</v>
      </c>
      <c r="I70" s="27">
        <f>SUMIF(일람표!$A$2:$A$36,C70,일람표!E$2:E$36)</f>
        <v>0</v>
      </c>
      <c r="J70" s="28"/>
      <c r="K70" s="29"/>
      <c r="L70" s="30"/>
      <c r="M70" s="30"/>
      <c r="N70" s="30"/>
      <c r="O70" s="31"/>
      <c r="P70" s="32">
        <f t="shared" si="11"/>
        <v>0</v>
      </c>
      <c r="Q70" s="33" t="str">
        <f t="shared" si="10"/>
        <v/>
      </c>
      <c r="R70" s="34">
        <f t="shared" si="9"/>
        <v>0</v>
      </c>
      <c r="S70" s="35"/>
      <c r="T70" s="12"/>
    </row>
    <row r="71" spans="1:20" s="54" customFormat="1" ht="13.5" customHeight="1">
      <c r="A71" s="47"/>
      <c r="B71" s="46"/>
      <c r="C71" s="46"/>
      <c r="D71" s="26" t="str">
        <f>IF(A71="","",VLOOKUP($C71,일람표!$A$2:$K$36,11,FALSE))</f>
        <v/>
      </c>
      <c r="E71" s="26" t="str">
        <f>IF(A71="","",VLOOKUP($C71,일람표!$A$2:$J$36,6,FALSE))</f>
        <v/>
      </c>
      <c r="F71" s="26" t="str">
        <f>IF(A71="","",RIGHT(VLOOKUP($C71,일람표!$A$1:$H$36,2,FALSE),5))</f>
        <v/>
      </c>
      <c r="G71" s="27">
        <f>SUMIF(일람표!$A$2:$A$36,C71,일람표!H$2:H$36)</f>
        <v>0</v>
      </c>
      <c r="H71" s="27">
        <f>SUMIF(일람표!$A$2:$A$36,C71,일람표!J$2:J$36)</f>
        <v>0</v>
      </c>
      <c r="I71" s="27">
        <f>SUMIF(일람표!$A$2:$A$36,C71,일람표!E$2:E$36)</f>
        <v>0</v>
      </c>
      <c r="J71" s="28"/>
      <c r="K71" s="29"/>
      <c r="L71" s="30"/>
      <c r="M71" s="30"/>
      <c r="N71" s="30"/>
      <c r="O71" s="31"/>
      <c r="P71" s="32">
        <f t="shared" si="11"/>
        <v>0</v>
      </c>
      <c r="Q71" s="33" t="str">
        <f t="shared" si="10"/>
        <v/>
      </c>
      <c r="R71" s="34">
        <f t="shared" si="9"/>
        <v>0</v>
      </c>
      <c r="S71" s="35"/>
      <c r="T71" s="12"/>
    </row>
    <row r="72" spans="1:20" s="54" customFormat="1" ht="13.5" customHeight="1">
      <c r="A72" s="47"/>
      <c r="B72" s="46"/>
      <c r="C72" s="46"/>
      <c r="D72" s="26" t="str">
        <f>IF(A72="","",VLOOKUP($C72,일람표!$A$2:$K$36,11,FALSE))</f>
        <v/>
      </c>
      <c r="E72" s="26" t="str">
        <f>IF(A72="","",VLOOKUP($C72,일람표!$A$2:$J$36,6,FALSE))</f>
        <v/>
      </c>
      <c r="F72" s="26" t="str">
        <f>IF(A72="","",RIGHT(VLOOKUP($C72,일람표!$A$1:$H$36,2,FALSE),5))</f>
        <v/>
      </c>
      <c r="G72" s="27">
        <f>SUMIF(일람표!$A$2:$A$36,C72,일람표!H$2:H$36)</f>
        <v>0</v>
      </c>
      <c r="H72" s="27">
        <f>SUMIF(일람표!$A$2:$A$36,C72,일람표!J$2:J$36)</f>
        <v>0</v>
      </c>
      <c r="I72" s="27">
        <f>SUMIF(일람표!$A$2:$A$36,C72,일람표!E$2:E$36)</f>
        <v>0</v>
      </c>
      <c r="J72" s="28"/>
      <c r="K72" s="29"/>
      <c r="L72" s="30"/>
      <c r="M72" s="30"/>
      <c r="N72" s="30"/>
      <c r="O72" s="31"/>
      <c r="P72" s="32">
        <f t="shared" si="11"/>
        <v>0</v>
      </c>
      <c r="Q72" s="33" t="str">
        <f t="shared" si="10"/>
        <v/>
      </c>
      <c r="R72" s="34">
        <f t="shared" si="9"/>
        <v>0</v>
      </c>
      <c r="S72" s="35"/>
      <c r="T72" s="12"/>
    </row>
    <row r="73" spans="1:20" s="54" customFormat="1" ht="13.5" customHeight="1">
      <c r="A73" s="47"/>
      <c r="B73" s="46"/>
      <c r="C73" s="46"/>
      <c r="D73" s="26" t="str">
        <f>IF(A73="","",VLOOKUP($C73,일람표!$A$2:$K$36,11,FALSE))</f>
        <v/>
      </c>
      <c r="E73" s="26" t="str">
        <f>IF(A73="","",VLOOKUP($C73,일람표!$A$2:$J$36,6,FALSE))</f>
        <v/>
      </c>
      <c r="F73" s="26" t="str">
        <f>IF(A73="","",RIGHT(VLOOKUP($C73,일람표!$A$1:$H$36,2,FALSE),5))</f>
        <v/>
      </c>
      <c r="G73" s="27">
        <f>SUMIF(일람표!$A$2:$A$36,C73,일람표!H$2:H$36)</f>
        <v>0</v>
      </c>
      <c r="H73" s="27">
        <f>SUMIF(일람표!$A$2:$A$36,C73,일람표!J$2:J$36)</f>
        <v>0</v>
      </c>
      <c r="I73" s="27">
        <f>SUMIF(일람표!$A$2:$A$36,C73,일람표!E$2:E$36)</f>
        <v>0</v>
      </c>
      <c r="J73" s="28"/>
      <c r="K73" s="29"/>
      <c r="L73" s="30"/>
      <c r="M73" s="30"/>
      <c r="N73" s="30"/>
      <c r="O73" s="31"/>
      <c r="P73" s="32">
        <f t="shared" si="11"/>
        <v>0</v>
      </c>
      <c r="Q73" s="33" t="str">
        <f t="shared" si="10"/>
        <v/>
      </c>
      <c r="R73" s="34">
        <f t="shared" si="9"/>
        <v>0</v>
      </c>
      <c r="S73" s="35"/>
      <c r="T73" s="12"/>
    </row>
    <row r="74" spans="1:20" s="54" customFormat="1" ht="13.5" customHeight="1">
      <c r="A74" s="47"/>
      <c r="B74" s="46"/>
      <c r="C74" s="46"/>
      <c r="D74" s="26" t="str">
        <f>IF(A74="","",VLOOKUP($C74,일람표!$A$2:$K$36,11,FALSE))</f>
        <v/>
      </c>
      <c r="E74" s="26" t="str">
        <f>IF(A74="","",VLOOKUP($C74,일람표!$A$2:$J$36,6,FALSE))</f>
        <v/>
      </c>
      <c r="F74" s="26" t="str">
        <f>IF(A74="","",RIGHT(VLOOKUP($C74,일람표!$A$1:$H$36,2,FALSE),5))</f>
        <v/>
      </c>
      <c r="G74" s="27">
        <f>SUMIF(일람표!$A$2:$A$36,C74,일람표!H$2:H$36)</f>
        <v>0</v>
      </c>
      <c r="H74" s="27">
        <f>SUMIF(일람표!$A$2:$A$36,C74,일람표!J$2:J$36)</f>
        <v>0</v>
      </c>
      <c r="I74" s="27">
        <f>SUMIF(일람표!$A$2:$A$36,C74,일람표!E$2:E$36)</f>
        <v>0</v>
      </c>
      <c r="J74" s="28"/>
      <c r="K74" s="29"/>
      <c r="L74" s="30"/>
      <c r="M74" s="30"/>
      <c r="N74" s="30"/>
      <c r="O74" s="31"/>
      <c r="P74" s="32">
        <f t="shared" si="11"/>
        <v>0</v>
      </c>
      <c r="Q74" s="33" t="str">
        <f t="shared" si="10"/>
        <v/>
      </c>
      <c r="R74" s="34">
        <f t="shared" si="9"/>
        <v>0</v>
      </c>
      <c r="S74" s="35"/>
      <c r="T74" s="12"/>
    </row>
    <row r="75" spans="1:20" s="54" customFormat="1" ht="13.5" customHeight="1">
      <c r="A75" s="47"/>
      <c r="B75" s="46"/>
      <c r="C75" s="46"/>
      <c r="D75" s="26" t="str">
        <f>IF(A75="","",VLOOKUP($C75,일람표!$A$2:$K$36,11,FALSE))</f>
        <v/>
      </c>
      <c r="E75" s="26" t="str">
        <f>IF(A75="","",VLOOKUP($C75,일람표!$A$2:$J$36,6,FALSE))</f>
        <v/>
      </c>
      <c r="F75" s="26" t="str">
        <f>IF(A75="","",RIGHT(VLOOKUP($C75,일람표!$A$1:$H$36,2,FALSE),5))</f>
        <v/>
      </c>
      <c r="G75" s="27">
        <f>SUMIF(일람표!$A$2:$A$36,C75,일람표!H$2:H$36)</f>
        <v>0</v>
      </c>
      <c r="H75" s="27">
        <f>SUMIF(일람표!$A$2:$A$36,C75,일람표!J$2:J$36)</f>
        <v>0</v>
      </c>
      <c r="I75" s="27">
        <f>SUMIF(일람표!$A$2:$A$36,C75,일람표!E$2:E$36)</f>
        <v>0</v>
      </c>
      <c r="J75" s="28"/>
      <c r="K75" s="29"/>
      <c r="L75" s="30"/>
      <c r="M75" s="30"/>
      <c r="N75" s="30"/>
      <c r="O75" s="31"/>
      <c r="P75" s="32">
        <f t="shared" si="11"/>
        <v>0</v>
      </c>
      <c r="Q75" s="33" t="str">
        <f t="shared" si="10"/>
        <v/>
      </c>
      <c r="R75" s="34">
        <f t="shared" si="9"/>
        <v>0</v>
      </c>
      <c r="S75" s="35"/>
      <c r="T75" s="12"/>
    </row>
    <row r="76" spans="1:20" s="54" customFormat="1" ht="13.5" customHeight="1">
      <c r="A76" s="47"/>
      <c r="B76" s="46"/>
      <c r="C76" s="46"/>
      <c r="D76" s="26" t="str">
        <f>IF(A76="","",VLOOKUP($C76,일람표!$A$2:$K$36,11,FALSE))</f>
        <v/>
      </c>
      <c r="E76" s="26" t="str">
        <f>IF(A76="","",VLOOKUP($C76,일람표!$A$2:$J$36,6,FALSE))</f>
        <v/>
      </c>
      <c r="F76" s="26" t="str">
        <f>IF(A76="","",RIGHT(VLOOKUP($C76,일람표!$A$1:$H$36,2,FALSE),5))</f>
        <v/>
      </c>
      <c r="G76" s="27">
        <f>SUMIF(일람표!$A$2:$A$36,C76,일람표!H$2:H$36)</f>
        <v>0</v>
      </c>
      <c r="H76" s="27">
        <f>SUMIF(일람표!$A$2:$A$36,C76,일람표!J$2:J$36)</f>
        <v>0</v>
      </c>
      <c r="I76" s="27">
        <f>SUMIF(일람표!$A$2:$A$36,C76,일람표!E$2:E$36)</f>
        <v>0</v>
      </c>
      <c r="J76" s="28"/>
      <c r="K76" s="29"/>
      <c r="L76" s="30"/>
      <c r="M76" s="30"/>
      <c r="N76" s="30"/>
      <c r="O76" s="31"/>
      <c r="P76" s="32">
        <f t="shared" si="11"/>
        <v>0</v>
      </c>
      <c r="Q76" s="33" t="str">
        <f t="shared" si="10"/>
        <v/>
      </c>
      <c r="R76" s="34">
        <f t="shared" si="9"/>
        <v>0</v>
      </c>
      <c r="S76" s="35"/>
      <c r="T76" s="12"/>
    </row>
    <row r="77" spans="1:20" s="54" customFormat="1" ht="13.5" customHeight="1">
      <c r="A77" s="47"/>
      <c r="B77" s="46"/>
      <c r="C77" s="46"/>
      <c r="D77" s="26" t="str">
        <f>IF(A77="","",VLOOKUP($C77,일람표!$A$2:$K$36,11,FALSE))</f>
        <v/>
      </c>
      <c r="E77" s="26" t="str">
        <f>IF(A77="","",VLOOKUP($C77,일람표!$A$2:$J$36,6,FALSE))</f>
        <v/>
      </c>
      <c r="F77" s="26" t="str">
        <f>IF(A77="","",RIGHT(VLOOKUP($C77,일람표!$A$1:$H$36,2,FALSE),5))</f>
        <v/>
      </c>
      <c r="G77" s="27">
        <f>SUMIF(일람표!$A$2:$A$36,C77,일람표!H$2:H$36)</f>
        <v>0</v>
      </c>
      <c r="H77" s="27">
        <f>SUMIF(일람표!$A$2:$A$36,C77,일람표!J$2:J$36)</f>
        <v>0</v>
      </c>
      <c r="I77" s="27">
        <f>SUMIF(일람표!$A$2:$A$36,C77,일람표!E$2:E$36)</f>
        <v>0</v>
      </c>
      <c r="J77" s="28"/>
      <c r="K77" s="29"/>
      <c r="L77" s="30"/>
      <c r="M77" s="30"/>
      <c r="N77" s="30"/>
      <c r="O77" s="31"/>
      <c r="P77" s="32">
        <f t="shared" si="11"/>
        <v>0</v>
      </c>
      <c r="Q77" s="33" t="str">
        <f t="shared" si="10"/>
        <v/>
      </c>
      <c r="R77" s="34">
        <f t="shared" si="9"/>
        <v>0</v>
      </c>
      <c r="S77" s="35"/>
      <c r="T77" s="12"/>
    </row>
    <row r="78" spans="1:20" s="54" customFormat="1" ht="13.5" customHeight="1">
      <c r="A78" s="47"/>
      <c r="B78" s="46"/>
      <c r="C78" s="46"/>
      <c r="D78" s="26" t="str">
        <f>IF(A78="","",VLOOKUP($C78,일람표!$A$2:$K$36,11,FALSE))</f>
        <v/>
      </c>
      <c r="E78" s="26" t="str">
        <f>IF(A78="","",VLOOKUP($C78,일람표!$A$2:$J$36,6,FALSE))</f>
        <v/>
      </c>
      <c r="F78" s="26" t="str">
        <f>IF(A78="","",RIGHT(VLOOKUP($C78,일람표!$A$1:$H$36,2,FALSE),5))</f>
        <v/>
      </c>
      <c r="G78" s="27">
        <f>SUMIF(일람표!$A$2:$A$36,C78,일람표!H$2:H$36)</f>
        <v>0</v>
      </c>
      <c r="H78" s="27">
        <f>SUMIF(일람표!$A$2:$A$36,C78,일람표!J$2:J$36)</f>
        <v>0</v>
      </c>
      <c r="I78" s="27">
        <f>SUMIF(일람표!$A$2:$A$36,C78,일람표!E$2:E$36)</f>
        <v>0</v>
      </c>
      <c r="J78" s="28"/>
      <c r="K78" s="29"/>
      <c r="L78" s="30"/>
      <c r="M78" s="30"/>
      <c r="N78" s="30"/>
      <c r="O78" s="31"/>
      <c r="P78" s="32">
        <f t="shared" si="11"/>
        <v>0</v>
      </c>
      <c r="Q78" s="33" t="str">
        <f t="shared" si="10"/>
        <v/>
      </c>
      <c r="R78" s="34">
        <f t="shared" si="9"/>
        <v>0</v>
      </c>
      <c r="S78" s="35"/>
      <c r="T78" s="12"/>
    </row>
    <row r="79" spans="1:20" s="54" customFormat="1" ht="13.5" customHeight="1">
      <c r="A79" s="47"/>
      <c r="B79" s="46"/>
      <c r="C79" s="46"/>
      <c r="D79" s="26" t="str">
        <f>IF(A79="","",VLOOKUP($C79,일람표!$A$2:$K$36,11,FALSE))</f>
        <v/>
      </c>
      <c r="E79" s="26" t="str">
        <f>IF(A79="","",VLOOKUP($C79,일람표!$A$2:$J$36,6,FALSE))</f>
        <v/>
      </c>
      <c r="F79" s="26" t="str">
        <f>IF(A79="","",RIGHT(VLOOKUP($C79,일람표!$A$1:$H$36,2,FALSE),5))</f>
        <v/>
      </c>
      <c r="G79" s="27">
        <f>SUMIF(일람표!$A$2:$A$36,C79,일람표!H$2:H$36)</f>
        <v>0</v>
      </c>
      <c r="H79" s="27">
        <f>SUMIF(일람표!$A$2:$A$36,C79,일람표!J$2:J$36)</f>
        <v>0</v>
      </c>
      <c r="I79" s="27">
        <f>SUMIF(일람표!$A$2:$A$36,C79,일람표!E$2:E$36)</f>
        <v>0</v>
      </c>
      <c r="J79" s="28"/>
      <c r="K79" s="29"/>
      <c r="L79" s="30"/>
      <c r="M79" s="30"/>
      <c r="N79" s="30"/>
      <c r="O79" s="31"/>
      <c r="P79" s="32">
        <f t="shared" si="11"/>
        <v>0</v>
      </c>
      <c r="Q79" s="33" t="str">
        <f t="shared" si="10"/>
        <v/>
      </c>
      <c r="R79" s="34">
        <f t="shared" si="9"/>
        <v>0</v>
      </c>
      <c r="S79" s="35"/>
      <c r="T79" s="12"/>
    </row>
    <row r="80" spans="1:20" s="54" customFormat="1" ht="13.5" customHeight="1">
      <c r="A80" s="47"/>
      <c r="B80" s="46"/>
      <c r="C80" s="46"/>
      <c r="D80" s="26" t="str">
        <f>IF(A80="","",VLOOKUP($C80,일람표!$A$2:$K$36,11,FALSE))</f>
        <v/>
      </c>
      <c r="E80" s="26" t="str">
        <f>IF(A80="","",VLOOKUP($C80,일람표!$A$2:$J$36,6,FALSE))</f>
        <v/>
      </c>
      <c r="F80" s="26" t="str">
        <f>IF(A80="","",RIGHT(VLOOKUP($C80,일람표!$A$1:$H$36,2,FALSE),5))</f>
        <v/>
      </c>
      <c r="G80" s="27">
        <f>SUMIF(일람표!$A$2:$A$36,C80,일람표!H$2:H$36)</f>
        <v>0</v>
      </c>
      <c r="H80" s="27">
        <f>SUMIF(일람표!$A$2:$A$36,C80,일람표!J$2:J$36)</f>
        <v>0</v>
      </c>
      <c r="I80" s="27">
        <f>SUMIF(일람표!$A$2:$A$36,C80,일람표!E$2:E$36)</f>
        <v>0</v>
      </c>
      <c r="J80" s="28"/>
      <c r="K80" s="29"/>
      <c r="L80" s="30"/>
      <c r="M80" s="30"/>
      <c r="N80" s="30"/>
      <c r="O80" s="31"/>
      <c r="P80" s="32">
        <f t="shared" si="11"/>
        <v>0</v>
      </c>
      <c r="Q80" s="33" t="str">
        <f t="shared" si="10"/>
        <v/>
      </c>
      <c r="R80" s="34">
        <f t="shared" si="9"/>
        <v>0</v>
      </c>
      <c r="S80" s="35"/>
      <c r="T80" s="12"/>
    </row>
    <row r="81" spans="1:20" s="54" customFormat="1" ht="13.5" customHeight="1">
      <c r="A81" s="47"/>
      <c r="B81" s="46"/>
      <c r="C81" s="46"/>
      <c r="D81" s="26" t="str">
        <f>IF(A81="","",VLOOKUP($C81,일람표!$A$2:$K$36,11,FALSE))</f>
        <v/>
      </c>
      <c r="E81" s="26" t="str">
        <f>IF(A81="","",VLOOKUP($C81,일람표!$A$2:$J$36,6,FALSE))</f>
        <v/>
      </c>
      <c r="F81" s="26" t="str">
        <f>IF(A81="","",RIGHT(VLOOKUP($C81,일람표!$A$1:$H$36,2,FALSE),5))</f>
        <v/>
      </c>
      <c r="G81" s="27">
        <f>SUMIF(일람표!$A$2:$A$36,C81,일람표!H$2:H$36)</f>
        <v>0</v>
      </c>
      <c r="H81" s="27">
        <f>SUMIF(일람표!$A$2:$A$36,C81,일람표!J$2:J$36)</f>
        <v>0</v>
      </c>
      <c r="I81" s="27">
        <f>SUMIF(일람표!$A$2:$A$36,C81,일람표!E$2:E$36)</f>
        <v>0</v>
      </c>
      <c r="J81" s="28"/>
      <c r="K81" s="29"/>
      <c r="L81" s="30"/>
      <c r="M81" s="30"/>
      <c r="N81" s="30"/>
      <c r="O81" s="31"/>
      <c r="P81" s="32">
        <f t="shared" si="11"/>
        <v>0</v>
      </c>
      <c r="Q81" s="33" t="str">
        <f t="shared" si="10"/>
        <v/>
      </c>
      <c r="R81" s="34">
        <f t="shared" si="9"/>
        <v>0</v>
      </c>
      <c r="S81" s="35"/>
      <c r="T81" s="12"/>
    </row>
    <row r="82" spans="1:20" s="54" customFormat="1" ht="13.5" customHeight="1">
      <c r="A82" s="47"/>
      <c r="B82" s="46"/>
      <c r="C82" s="46"/>
      <c r="D82" s="26" t="str">
        <f>IF(A82="","",VLOOKUP($C82,일람표!$A$2:$K$36,11,FALSE))</f>
        <v/>
      </c>
      <c r="E82" s="26" t="str">
        <f>IF(A82="","",VLOOKUP($C82,일람표!$A$2:$J$36,6,FALSE))</f>
        <v/>
      </c>
      <c r="F82" s="26" t="str">
        <f>IF(A82="","",RIGHT(VLOOKUP($C82,일람표!$A$1:$H$36,2,FALSE),5))</f>
        <v/>
      </c>
      <c r="G82" s="27">
        <f>SUMIF(일람표!$A$2:$A$36,C82,일람표!H$2:H$36)</f>
        <v>0</v>
      </c>
      <c r="H82" s="27">
        <f>SUMIF(일람표!$A$2:$A$36,C82,일람표!J$2:J$36)</f>
        <v>0</v>
      </c>
      <c r="I82" s="27">
        <f>SUMIF(일람표!$A$2:$A$36,C82,일람표!E$2:E$36)</f>
        <v>0</v>
      </c>
      <c r="J82" s="28"/>
      <c r="K82" s="29"/>
      <c r="L82" s="30"/>
      <c r="M82" s="30"/>
      <c r="N82" s="30"/>
      <c r="O82" s="31"/>
      <c r="P82" s="32">
        <f t="shared" si="11"/>
        <v>0</v>
      </c>
      <c r="Q82" s="33" t="str">
        <f t="shared" si="10"/>
        <v/>
      </c>
      <c r="R82" s="34">
        <f t="shared" si="9"/>
        <v>0</v>
      </c>
      <c r="S82" s="35"/>
      <c r="T82" s="12"/>
    </row>
    <row r="83" spans="1:20" s="54" customFormat="1" ht="13.5" customHeight="1">
      <c r="A83" s="47"/>
      <c r="B83" s="46"/>
      <c r="C83" s="46"/>
      <c r="D83" s="26" t="str">
        <f>IF(A83="","",VLOOKUP($C83,일람표!$A$2:$K$36,11,FALSE))</f>
        <v/>
      </c>
      <c r="E83" s="26" t="str">
        <f>IF(A83="","",VLOOKUP($C83,일람표!$A$2:$J$36,6,FALSE))</f>
        <v/>
      </c>
      <c r="F83" s="26" t="str">
        <f>IF(A83="","",RIGHT(VLOOKUP($C83,일람표!$A$1:$H$36,2,FALSE),5))</f>
        <v/>
      </c>
      <c r="G83" s="27">
        <f>SUMIF(일람표!$A$2:$A$36,C83,일람표!H$2:H$36)</f>
        <v>0</v>
      </c>
      <c r="H83" s="27">
        <f>SUMIF(일람표!$A$2:$A$36,C83,일람표!J$2:J$36)</f>
        <v>0</v>
      </c>
      <c r="I83" s="27">
        <f>SUMIF(일람표!$A$2:$A$36,C83,일람표!E$2:E$36)</f>
        <v>0</v>
      </c>
      <c r="J83" s="28"/>
      <c r="K83" s="29"/>
      <c r="L83" s="30"/>
      <c r="M83" s="30"/>
      <c r="N83" s="30"/>
      <c r="O83" s="31"/>
      <c r="P83" s="32">
        <f t="shared" si="11"/>
        <v>0</v>
      </c>
      <c r="Q83" s="33" t="str">
        <f t="shared" si="10"/>
        <v/>
      </c>
      <c r="R83" s="34">
        <f t="shared" si="9"/>
        <v>0</v>
      </c>
      <c r="S83" s="35"/>
      <c r="T83" s="12"/>
    </row>
    <row r="84" spans="1:20" s="54" customFormat="1" ht="13.5" customHeight="1">
      <c r="A84" s="47"/>
      <c r="B84" s="46"/>
      <c r="C84" s="46"/>
      <c r="D84" s="26" t="str">
        <f>IF(A84="","",VLOOKUP($C84,일람표!$A$2:$K$36,11,FALSE))</f>
        <v/>
      </c>
      <c r="E84" s="26" t="str">
        <f>IF(A84="","",VLOOKUP($C84,일람표!$A$2:$J$36,6,FALSE))</f>
        <v/>
      </c>
      <c r="F84" s="26" t="str">
        <f>IF(A84="","",RIGHT(VLOOKUP($C84,일람표!$A$1:$H$36,2,FALSE),5))</f>
        <v/>
      </c>
      <c r="G84" s="27">
        <f>SUMIF(일람표!$A$2:$A$36,C84,일람표!H$2:H$36)</f>
        <v>0</v>
      </c>
      <c r="H84" s="27">
        <f>SUMIF(일람표!$A$2:$A$36,C84,일람표!J$2:J$36)</f>
        <v>0</v>
      </c>
      <c r="I84" s="27">
        <f>SUMIF(일람표!$A$2:$A$36,C84,일람표!E$2:E$36)</f>
        <v>0</v>
      </c>
      <c r="J84" s="28"/>
      <c r="K84" s="29"/>
      <c r="L84" s="30"/>
      <c r="M84" s="30"/>
      <c r="N84" s="30"/>
      <c r="O84" s="31"/>
      <c r="P84" s="32">
        <f t="shared" si="11"/>
        <v>0</v>
      </c>
      <c r="Q84" s="33" t="str">
        <f t="shared" si="10"/>
        <v/>
      </c>
      <c r="R84" s="34">
        <f t="shared" si="9"/>
        <v>0</v>
      </c>
      <c r="S84" s="35"/>
      <c r="T84" s="12"/>
    </row>
    <row r="85" spans="1:20" s="54" customFormat="1" ht="13.5" customHeight="1">
      <c r="A85" s="47"/>
      <c r="B85" s="46"/>
      <c r="C85" s="46"/>
      <c r="D85" s="26" t="str">
        <f>IF(A85="","",VLOOKUP($C85,일람표!$A$2:$K$36,11,FALSE))</f>
        <v/>
      </c>
      <c r="E85" s="26" t="str">
        <f>IF(A85="","",VLOOKUP($C85,일람표!$A$2:$J$36,6,FALSE))</f>
        <v/>
      </c>
      <c r="F85" s="26" t="str">
        <f>IF(A85="","",RIGHT(VLOOKUP($C85,일람표!$A$1:$H$36,2,FALSE),5))</f>
        <v/>
      </c>
      <c r="G85" s="27">
        <f>SUMIF(일람표!$A$2:$A$36,C85,일람표!H$2:H$36)</f>
        <v>0</v>
      </c>
      <c r="H85" s="27">
        <f>SUMIF(일람표!$A$2:$A$36,C85,일람표!J$2:J$36)</f>
        <v>0</v>
      </c>
      <c r="I85" s="27">
        <f>SUMIF(일람표!$A$2:$A$36,C85,일람표!E$2:E$36)</f>
        <v>0</v>
      </c>
      <c r="J85" s="28"/>
      <c r="K85" s="29"/>
      <c r="L85" s="30"/>
      <c r="M85" s="30"/>
      <c r="N85" s="30"/>
      <c r="O85" s="31"/>
      <c r="P85" s="32">
        <f t="shared" si="11"/>
        <v>0</v>
      </c>
      <c r="Q85" s="33" t="str">
        <f t="shared" si="10"/>
        <v/>
      </c>
      <c r="R85" s="34">
        <f t="shared" si="9"/>
        <v>0</v>
      </c>
      <c r="S85" s="35"/>
      <c r="T85" s="12"/>
    </row>
    <row r="86" spans="1:20" s="54" customFormat="1" ht="13.5" customHeight="1">
      <c r="A86" s="47"/>
      <c r="B86" s="46"/>
      <c r="C86" s="46"/>
      <c r="D86" s="26" t="str">
        <f>IF(A86="","",VLOOKUP($C86,일람표!$A$2:$K$36,11,FALSE))</f>
        <v/>
      </c>
      <c r="E86" s="26" t="str">
        <f>IF(A86="","",VLOOKUP($C86,일람표!$A$2:$J$36,6,FALSE))</f>
        <v/>
      </c>
      <c r="F86" s="26" t="str">
        <f>IF(A86="","",RIGHT(VLOOKUP($C86,일람표!$A$1:$H$36,2,FALSE),5))</f>
        <v/>
      </c>
      <c r="G86" s="27">
        <f>SUMIF(일람표!$A$2:$A$36,C86,일람표!H$2:H$36)</f>
        <v>0</v>
      </c>
      <c r="H86" s="27">
        <f>SUMIF(일람표!$A$2:$A$36,C86,일람표!J$2:J$36)</f>
        <v>0</v>
      </c>
      <c r="I86" s="27">
        <f>SUMIF(일람표!$A$2:$A$36,C86,일람표!E$2:E$36)</f>
        <v>0</v>
      </c>
      <c r="J86" s="28"/>
      <c r="K86" s="29"/>
      <c r="L86" s="30"/>
      <c r="M86" s="30"/>
      <c r="N86" s="30"/>
      <c r="O86" s="31"/>
      <c r="P86" s="32">
        <f t="shared" si="11"/>
        <v>0</v>
      </c>
      <c r="Q86" s="33" t="str">
        <f t="shared" si="10"/>
        <v/>
      </c>
      <c r="R86" s="34">
        <f t="shared" si="9"/>
        <v>0</v>
      </c>
      <c r="S86" s="35"/>
      <c r="T86" s="12"/>
    </row>
    <row r="87" spans="1:20" s="54" customFormat="1" ht="13.5" customHeight="1">
      <c r="A87" s="47"/>
      <c r="B87" s="46"/>
      <c r="C87" s="46"/>
      <c r="D87" s="26" t="str">
        <f>IF(A87="","",VLOOKUP($C87,일람표!$A$2:$K$36,11,FALSE))</f>
        <v/>
      </c>
      <c r="E87" s="26" t="str">
        <f>IF(A87="","",VLOOKUP($C87,일람표!$A$2:$J$36,6,FALSE))</f>
        <v/>
      </c>
      <c r="F87" s="26" t="str">
        <f>IF(A87="","",RIGHT(VLOOKUP($C87,일람표!$A$1:$H$36,2,FALSE),5))</f>
        <v/>
      </c>
      <c r="G87" s="27">
        <f>SUMIF(일람표!$A$2:$A$36,C87,일람표!H$2:H$36)</f>
        <v>0</v>
      </c>
      <c r="H87" s="27">
        <f>SUMIF(일람표!$A$2:$A$36,C87,일람표!J$2:J$36)</f>
        <v>0</v>
      </c>
      <c r="I87" s="27">
        <f>SUMIF(일람표!$A$2:$A$36,C87,일람표!E$2:E$36)</f>
        <v>0</v>
      </c>
      <c r="J87" s="28"/>
      <c r="K87" s="29"/>
      <c r="L87" s="30"/>
      <c r="M87" s="30"/>
      <c r="N87" s="30"/>
      <c r="O87" s="31"/>
      <c r="P87" s="32">
        <f t="shared" si="11"/>
        <v>0</v>
      </c>
      <c r="Q87" s="33" t="str">
        <f t="shared" si="10"/>
        <v/>
      </c>
      <c r="R87" s="34">
        <f t="shared" si="9"/>
        <v>0</v>
      </c>
      <c r="S87" s="35"/>
      <c r="T87" s="12"/>
    </row>
    <row r="88" spans="1:20" s="54" customFormat="1" ht="13.5" customHeight="1">
      <c r="A88" s="47"/>
      <c r="B88" s="46"/>
      <c r="C88" s="46"/>
      <c r="D88" s="26" t="str">
        <f>IF(A88="","",VLOOKUP($C88,일람표!$A$2:$K$36,11,FALSE))</f>
        <v/>
      </c>
      <c r="E88" s="26" t="str">
        <f>IF(A88="","",VLOOKUP($C88,일람표!$A$2:$J$36,6,FALSE))</f>
        <v/>
      </c>
      <c r="F88" s="26" t="str">
        <f>IF(A88="","",RIGHT(VLOOKUP($C88,일람표!$A$1:$H$36,2,FALSE),5))</f>
        <v/>
      </c>
      <c r="G88" s="27">
        <f>SUMIF(일람표!$A$2:$A$36,C88,일람표!H$2:H$36)</f>
        <v>0</v>
      </c>
      <c r="H88" s="27">
        <f>SUMIF(일람표!$A$2:$A$36,C88,일람표!J$2:J$36)</f>
        <v>0</v>
      </c>
      <c r="I88" s="27">
        <f>SUMIF(일람표!$A$2:$A$36,C88,일람표!E$2:E$36)</f>
        <v>0</v>
      </c>
      <c r="J88" s="28"/>
      <c r="K88" s="29"/>
      <c r="L88" s="30"/>
      <c r="M88" s="30"/>
      <c r="N88" s="30"/>
      <c r="O88" s="31"/>
      <c r="P88" s="32">
        <f t="shared" si="11"/>
        <v>0</v>
      </c>
      <c r="Q88" s="33" t="str">
        <f t="shared" si="10"/>
        <v/>
      </c>
      <c r="R88" s="34">
        <f t="shared" si="9"/>
        <v>0</v>
      </c>
      <c r="S88" s="35"/>
      <c r="T88" s="12"/>
    </row>
    <row r="89" spans="1:20" s="54" customFormat="1" ht="13.5" customHeight="1">
      <c r="A89" s="47"/>
      <c r="B89" s="46"/>
      <c r="C89" s="46"/>
      <c r="D89" s="26" t="str">
        <f>IF(A89="","",VLOOKUP($C89,일람표!$A$2:$K$36,11,FALSE))</f>
        <v/>
      </c>
      <c r="E89" s="26" t="str">
        <f>IF(A89="","",VLOOKUP($C89,일람표!$A$2:$J$36,6,FALSE))</f>
        <v/>
      </c>
      <c r="F89" s="26" t="str">
        <f>IF(A89="","",RIGHT(VLOOKUP($C89,일람표!$A$1:$H$36,2,FALSE),5))</f>
        <v/>
      </c>
      <c r="G89" s="27">
        <f>SUMIF(일람표!$A$2:$A$36,C89,일람표!H$2:H$36)</f>
        <v>0</v>
      </c>
      <c r="H89" s="27">
        <f>SUMIF(일람표!$A$2:$A$36,C89,일람표!J$2:J$36)</f>
        <v>0</v>
      </c>
      <c r="I89" s="27">
        <f>SUMIF(일람표!$A$2:$A$36,C89,일람표!E$2:E$36)</f>
        <v>0</v>
      </c>
      <c r="J89" s="28"/>
      <c r="K89" s="29"/>
      <c r="L89" s="30"/>
      <c r="M89" s="30"/>
      <c r="N89" s="30"/>
      <c r="O89" s="31"/>
      <c r="P89" s="32">
        <f t="shared" si="11"/>
        <v>0</v>
      </c>
      <c r="Q89" s="33" t="str">
        <f t="shared" si="10"/>
        <v/>
      </c>
      <c r="R89" s="34">
        <f t="shared" si="9"/>
        <v>0</v>
      </c>
      <c r="S89" s="35"/>
      <c r="T89" s="12"/>
    </row>
    <row r="90" spans="1:20" s="54" customFormat="1" ht="13.5" customHeight="1">
      <c r="A90" s="47"/>
      <c r="B90" s="46"/>
      <c r="C90" s="46"/>
      <c r="D90" s="26" t="str">
        <f>IF(A90="","",VLOOKUP($C90,일람표!$A$2:$K$36,11,FALSE))</f>
        <v/>
      </c>
      <c r="E90" s="26" t="str">
        <f>IF(A90="","",VLOOKUP($C90,일람표!$A$2:$J$36,6,FALSE))</f>
        <v/>
      </c>
      <c r="F90" s="26" t="str">
        <f>IF(A90="","",RIGHT(VLOOKUP($C90,일람표!$A$1:$H$36,2,FALSE),5))</f>
        <v/>
      </c>
      <c r="G90" s="27">
        <f>SUMIF(일람표!$A$2:$A$36,C90,일람표!H$2:H$36)</f>
        <v>0</v>
      </c>
      <c r="H90" s="27">
        <f>SUMIF(일람표!$A$2:$A$36,C90,일람표!J$2:J$36)</f>
        <v>0</v>
      </c>
      <c r="I90" s="27">
        <f>SUMIF(일람표!$A$2:$A$36,C90,일람표!E$2:E$36)</f>
        <v>0</v>
      </c>
      <c r="J90" s="28"/>
      <c r="K90" s="29"/>
      <c r="L90" s="30"/>
      <c r="M90" s="30"/>
      <c r="N90" s="30"/>
      <c r="O90" s="31"/>
      <c r="P90" s="32">
        <f t="shared" si="11"/>
        <v>0</v>
      </c>
      <c r="Q90" s="33" t="str">
        <f t="shared" si="10"/>
        <v/>
      </c>
      <c r="R90" s="34">
        <f t="shared" si="9"/>
        <v>0</v>
      </c>
      <c r="S90" s="35"/>
      <c r="T90" s="12"/>
    </row>
    <row r="91" spans="1:20" s="54" customFormat="1" ht="13.5" customHeight="1">
      <c r="A91" s="47"/>
      <c r="B91" s="46"/>
      <c r="C91" s="46"/>
      <c r="D91" s="26" t="str">
        <f>IF(A91="","",VLOOKUP($C91,일람표!$A$2:$K$36,11,FALSE))</f>
        <v/>
      </c>
      <c r="E91" s="26" t="str">
        <f>IF(A91="","",VLOOKUP($C91,일람표!$A$2:$J$36,6,FALSE))</f>
        <v/>
      </c>
      <c r="F91" s="26" t="str">
        <f>IF(A91="","",RIGHT(VLOOKUP($C91,일람표!$A$1:$H$36,2,FALSE),5))</f>
        <v/>
      </c>
      <c r="G91" s="27">
        <f>SUMIF(일람표!$A$2:$A$36,C91,일람표!H$2:H$36)</f>
        <v>0</v>
      </c>
      <c r="H91" s="27">
        <f>SUMIF(일람표!$A$2:$A$36,C91,일람표!J$2:J$36)</f>
        <v>0</v>
      </c>
      <c r="I91" s="27">
        <f>SUMIF(일람표!$A$2:$A$36,C91,일람표!E$2:E$36)</f>
        <v>0</v>
      </c>
      <c r="J91" s="28"/>
      <c r="K91" s="29"/>
      <c r="L91" s="30"/>
      <c r="M91" s="30"/>
      <c r="N91" s="30"/>
      <c r="O91" s="31"/>
      <c r="P91" s="32">
        <f t="shared" si="11"/>
        <v>0</v>
      </c>
      <c r="Q91" s="33" t="str">
        <f t="shared" si="10"/>
        <v/>
      </c>
      <c r="R91" s="34">
        <f t="shared" si="9"/>
        <v>0</v>
      </c>
      <c r="S91" s="35"/>
      <c r="T91" s="12"/>
    </row>
    <row r="92" spans="1:20" s="54" customFormat="1" ht="13.5" customHeight="1">
      <c r="A92" s="47"/>
      <c r="B92" s="46"/>
      <c r="C92" s="46"/>
      <c r="D92" s="26" t="str">
        <f>IF(A92="","",VLOOKUP($C92,일람표!$A$2:$K$36,11,FALSE))</f>
        <v/>
      </c>
      <c r="E92" s="26" t="str">
        <f>IF(A92="","",VLOOKUP($C92,일람표!$A$2:$J$36,6,FALSE))</f>
        <v/>
      </c>
      <c r="F92" s="26" t="str">
        <f>IF(A92="","",RIGHT(VLOOKUP($C92,일람표!$A$1:$H$36,2,FALSE),5))</f>
        <v/>
      </c>
      <c r="G92" s="27">
        <f>SUMIF(일람표!$A$2:$A$36,C92,일람표!H$2:H$36)</f>
        <v>0</v>
      </c>
      <c r="H92" s="27">
        <f>SUMIF(일람표!$A$2:$A$36,C92,일람표!J$2:J$36)</f>
        <v>0</v>
      </c>
      <c r="I92" s="27">
        <f>SUMIF(일람표!$A$2:$A$36,C92,일람표!E$2:E$36)</f>
        <v>0</v>
      </c>
      <c r="J92" s="28"/>
      <c r="K92" s="29"/>
      <c r="L92" s="30"/>
      <c r="M92" s="30"/>
      <c r="N92" s="30"/>
      <c r="O92" s="31"/>
      <c r="P92" s="32">
        <f t="shared" si="11"/>
        <v>0</v>
      </c>
      <c r="Q92" s="33" t="str">
        <f t="shared" si="10"/>
        <v/>
      </c>
      <c r="R92" s="34">
        <f t="shared" si="9"/>
        <v>0</v>
      </c>
      <c r="S92" s="35"/>
      <c r="T92" s="12"/>
    </row>
    <row r="93" spans="1:20" s="54" customFormat="1" ht="13.5" customHeight="1">
      <c r="A93" s="47"/>
      <c r="B93" s="46"/>
      <c r="C93" s="46"/>
      <c r="D93" s="26" t="str">
        <f>IF(A93="","",VLOOKUP($C93,일람표!$A$2:$K$36,11,FALSE))</f>
        <v/>
      </c>
      <c r="E93" s="26" t="str">
        <f>IF(A93="","",VLOOKUP($C93,일람표!$A$2:$J$36,6,FALSE))</f>
        <v/>
      </c>
      <c r="F93" s="26" t="str">
        <f>IF(A93="","",RIGHT(VLOOKUP($C93,일람표!$A$1:$H$36,2,FALSE),5))</f>
        <v/>
      </c>
      <c r="G93" s="27">
        <f>SUMIF(일람표!$A$2:$A$36,C93,일람표!H$2:H$36)</f>
        <v>0</v>
      </c>
      <c r="H93" s="27">
        <f>SUMIF(일람표!$A$2:$A$36,C93,일람표!J$2:J$36)</f>
        <v>0</v>
      </c>
      <c r="I93" s="27">
        <f>SUMIF(일람표!$A$2:$A$36,C93,일람표!E$2:E$36)</f>
        <v>0</v>
      </c>
      <c r="J93" s="28"/>
      <c r="K93" s="29"/>
      <c r="L93" s="30"/>
      <c r="M93" s="30"/>
      <c r="N93" s="30"/>
      <c r="O93" s="31"/>
      <c r="P93" s="32">
        <f t="shared" si="11"/>
        <v>0</v>
      </c>
      <c r="Q93" s="33" t="str">
        <f t="shared" si="10"/>
        <v/>
      </c>
      <c r="R93" s="34">
        <f t="shared" si="9"/>
        <v>0</v>
      </c>
      <c r="S93" s="35"/>
      <c r="T93" s="12"/>
    </row>
    <row r="94" spans="1:20" s="54" customFormat="1" ht="13.5" customHeight="1">
      <c r="A94" s="47"/>
      <c r="B94" s="46"/>
      <c r="C94" s="46"/>
      <c r="D94" s="26" t="str">
        <f>IF(A94="","",VLOOKUP($C94,일람표!$A$2:$K$36,11,FALSE))</f>
        <v/>
      </c>
      <c r="E94" s="26" t="str">
        <f>IF(A94="","",VLOOKUP($C94,일람표!$A$2:$J$36,6,FALSE))</f>
        <v/>
      </c>
      <c r="F94" s="26" t="str">
        <f>IF(A94="","",RIGHT(VLOOKUP($C94,일람표!$A$1:$H$36,2,FALSE),5))</f>
        <v/>
      </c>
      <c r="G94" s="27">
        <f>SUMIF(일람표!$A$2:$A$36,C94,일람표!H$2:H$36)</f>
        <v>0</v>
      </c>
      <c r="H94" s="27">
        <f>SUMIF(일람표!$A$2:$A$36,C94,일람표!J$2:J$36)</f>
        <v>0</v>
      </c>
      <c r="I94" s="27">
        <f>SUMIF(일람표!$A$2:$A$36,C94,일람표!E$2:E$36)</f>
        <v>0</v>
      </c>
      <c r="J94" s="28"/>
      <c r="K94" s="29"/>
      <c r="L94" s="30"/>
      <c r="M94" s="30"/>
      <c r="N94" s="30"/>
      <c r="O94" s="31"/>
      <c r="P94" s="32">
        <f t="shared" si="11"/>
        <v>0</v>
      </c>
      <c r="Q94" s="33" t="str">
        <f t="shared" si="10"/>
        <v/>
      </c>
      <c r="R94" s="34">
        <f t="shared" si="9"/>
        <v>0</v>
      </c>
      <c r="S94" s="35"/>
      <c r="T94" s="12"/>
    </row>
    <row r="95" spans="1:20" s="54" customFormat="1" ht="13.5" customHeight="1">
      <c r="A95" s="47"/>
      <c r="B95" s="46"/>
      <c r="C95" s="46"/>
      <c r="D95" s="26" t="str">
        <f>IF(A95="","",VLOOKUP($C95,일람표!$A$2:$K$36,11,FALSE))</f>
        <v/>
      </c>
      <c r="E95" s="26" t="str">
        <f>IF(A95="","",VLOOKUP($C95,일람표!$A$2:$J$36,6,FALSE))</f>
        <v/>
      </c>
      <c r="F95" s="26" t="str">
        <f>IF(A95="","",RIGHT(VLOOKUP($C95,일람표!$A$1:$H$36,2,FALSE),5))</f>
        <v/>
      </c>
      <c r="G95" s="27">
        <f>SUMIF(일람표!$A$2:$A$36,C95,일람표!H$2:H$36)</f>
        <v>0</v>
      </c>
      <c r="H95" s="27">
        <f>SUMIF(일람표!$A$2:$A$36,C95,일람표!J$2:J$36)</f>
        <v>0</v>
      </c>
      <c r="I95" s="27">
        <f>SUMIF(일람표!$A$2:$A$36,C95,일람표!E$2:E$36)</f>
        <v>0</v>
      </c>
      <c r="J95" s="28"/>
      <c r="K95" s="29"/>
      <c r="L95" s="30"/>
      <c r="M95" s="30"/>
      <c r="N95" s="30"/>
      <c r="O95" s="31"/>
      <c r="P95" s="32">
        <f t="shared" si="11"/>
        <v>0</v>
      </c>
      <c r="Q95" s="33" t="str">
        <f t="shared" si="10"/>
        <v/>
      </c>
      <c r="R95" s="34">
        <f t="shared" si="9"/>
        <v>0</v>
      </c>
      <c r="S95" s="35"/>
      <c r="T95" s="12"/>
    </row>
    <row r="96" spans="1:20" s="54" customFormat="1" ht="13.5" customHeight="1">
      <c r="A96" s="47"/>
      <c r="B96" s="46"/>
      <c r="C96" s="46"/>
      <c r="D96" s="26" t="str">
        <f>IF(A96="","",VLOOKUP($C96,일람표!$A$2:$K$36,11,FALSE))</f>
        <v/>
      </c>
      <c r="E96" s="26" t="str">
        <f>IF(A96="","",VLOOKUP($C96,일람표!$A$2:$J$36,6,FALSE))</f>
        <v/>
      </c>
      <c r="F96" s="26" t="str">
        <f>IF(A96="","",RIGHT(VLOOKUP($C96,일람표!$A$1:$H$36,2,FALSE),5))</f>
        <v/>
      </c>
      <c r="G96" s="27">
        <f>SUMIF(일람표!$A$2:$A$36,C96,일람표!H$2:H$36)</f>
        <v>0</v>
      </c>
      <c r="H96" s="27">
        <f>SUMIF(일람표!$A$2:$A$36,C96,일람표!J$2:J$36)</f>
        <v>0</v>
      </c>
      <c r="I96" s="27">
        <f>SUMIF(일람표!$A$2:$A$36,C96,일람표!E$2:E$36)</f>
        <v>0</v>
      </c>
      <c r="J96" s="28"/>
      <c r="K96" s="29"/>
      <c r="L96" s="30"/>
      <c r="M96" s="30"/>
      <c r="N96" s="30"/>
      <c r="O96" s="31"/>
      <c r="P96" s="32">
        <f t="shared" si="11"/>
        <v>0</v>
      </c>
      <c r="Q96" s="33" t="str">
        <f t="shared" si="10"/>
        <v/>
      </c>
      <c r="R96" s="34">
        <f t="shared" si="9"/>
        <v>0</v>
      </c>
      <c r="S96" s="35"/>
      <c r="T96" s="12"/>
    </row>
    <row r="97" spans="1:20" s="54" customFormat="1" ht="13.5" customHeight="1">
      <c r="A97" s="47"/>
      <c r="B97" s="46"/>
      <c r="C97" s="46"/>
      <c r="D97" s="26" t="str">
        <f>IF(A97="","",VLOOKUP($C97,일람표!$A$2:$K$36,11,FALSE))</f>
        <v/>
      </c>
      <c r="E97" s="26" t="str">
        <f>IF(A97="","",VLOOKUP($C97,일람표!$A$2:$J$36,6,FALSE))</f>
        <v/>
      </c>
      <c r="F97" s="26" t="str">
        <f>IF(A97="","",RIGHT(VLOOKUP($C97,일람표!$A$1:$H$36,2,FALSE),5))</f>
        <v/>
      </c>
      <c r="G97" s="27">
        <f>SUMIF(일람표!$A$2:$A$36,C97,일람표!H$2:H$36)</f>
        <v>0</v>
      </c>
      <c r="H97" s="27">
        <f>SUMIF(일람표!$A$2:$A$36,C97,일람표!J$2:J$36)</f>
        <v>0</v>
      </c>
      <c r="I97" s="27">
        <f>SUMIF(일람표!$A$2:$A$36,C97,일람표!E$2:E$36)</f>
        <v>0</v>
      </c>
      <c r="J97" s="28"/>
      <c r="K97" s="29"/>
      <c r="L97" s="30"/>
      <c r="M97" s="30"/>
      <c r="N97" s="30"/>
      <c r="O97" s="31"/>
      <c r="P97" s="32">
        <f t="shared" si="11"/>
        <v>0</v>
      </c>
      <c r="Q97" s="33" t="str">
        <f t="shared" si="10"/>
        <v/>
      </c>
      <c r="R97" s="34">
        <f t="shared" si="9"/>
        <v>0</v>
      </c>
      <c r="S97" s="35"/>
      <c r="T97" s="12"/>
    </row>
    <row r="98" spans="1:20" s="54" customFormat="1" ht="13.5" customHeight="1">
      <c r="A98" s="47"/>
      <c r="B98" s="46"/>
      <c r="C98" s="46"/>
      <c r="D98" s="26" t="str">
        <f>IF(A98="","",VLOOKUP($C98,일람표!$A$2:$K$36,11,FALSE))</f>
        <v/>
      </c>
      <c r="E98" s="26" t="str">
        <f>IF(A98="","",VLOOKUP($C98,일람표!$A$2:$J$36,6,FALSE))</f>
        <v/>
      </c>
      <c r="F98" s="26" t="str">
        <f>IF(A98="","",RIGHT(VLOOKUP($C98,일람표!$A$1:$H$36,2,FALSE),5))</f>
        <v/>
      </c>
      <c r="G98" s="27">
        <f>SUMIF(일람표!$A$2:$A$36,C98,일람표!H$2:H$36)</f>
        <v>0</v>
      </c>
      <c r="H98" s="27">
        <f>SUMIF(일람표!$A$2:$A$36,C98,일람표!J$2:J$36)</f>
        <v>0</v>
      </c>
      <c r="I98" s="27">
        <f>SUMIF(일람표!$A$2:$A$36,C98,일람표!E$2:E$36)</f>
        <v>0</v>
      </c>
      <c r="J98" s="28"/>
      <c r="K98" s="29"/>
      <c r="L98" s="30"/>
      <c r="M98" s="30"/>
      <c r="N98" s="30"/>
      <c r="O98" s="31"/>
      <c r="P98" s="32">
        <f t="shared" si="11"/>
        <v>0</v>
      </c>
      <c r="Q98" s="33" t="str">
        <f t="shared" si="10"/>
        <v/>
      </c>
      <c r="R98" s="34">
        <f t="shared" si="9"/>
        <v>0</v>
      </c>
      <c r="S98" s="35"/>
      <c r="T98" s="12"/>
    </row>
    <row r="99" spans="1:20" s="54" customFormat="1" ht="13.5" customHeight="1">
      <c r="A99" s="47"/>
      <c r="B99" s="46"/>
      <c r="C99" s="46"/>
      <c r="D99" s="26" t="str">
        <f>IF(A99="","",VLOOKUP($C99,일람표!$A$2:$K$36,11,FALSE))</f>
        <v/>
      </c>
      <c r="E99" s="26" t="str">
        <f>IF(A99="","",VLOOKUP($C99,일람표!$A$2:$J$36,6,FALSE))</f>
        <v/>
      </c>
      <c r="F99" s="26" t="str">
        <f>IF(A99="","",RIGHT(VLOOKUP($C99,일람표!$A$1:$H$36,2,FALSE),5))</f>
        <v/>
      </c>
      <c r="G99" s="27">
        <f>SUMIF(일람표!$A$2:$A$36,C99,일람표!H$2:H$36)</f>
        <v>0</v>
      </c>
      <c r="H99" s="27">
        <f>SUMIF(일람표!$A$2:$A$36,C99,일람표!J$2:J$36)</f>
        <v>0</v>
      </c>
      <c r="I99" s="27">
        <f>SUMIF(일람표!$A$2:$A$36,C99,일람표!E$2:E$36)</f>
        <v>0</v>
      </c>
      <c r="J99" s="28"/>
      <c r="K99" s="29"/>
      <c r="L99" s="30"/>
      <c r="M99" s="30"/>
      <c r="N99" s="30"/>
      <c r="O99" s="31"/>
      <c r="P99" s="32">
        <f t="shared" si="11"/>
        <v>0</v>
      </c>
      <c r="Q99" s="33" t="str">
        <f t="shared" si="10"/>
        <v/>
      </c>
      <c r="R99" s="34">
        <f t="shared" si="9"/>
        <v>0</v>
      </c>
      <c r="S99" s="35"/>
      <c r="T99" s="12"/>
    </row>
    <row r="100" spans="1:20" s="54" customFormat="1" ht="13.5" customHeight="1">
      <c r="A100" s="47"/>
      <c r="B100" s="46"/>
      <c r="C100" s="46"/>
      <c r="D100" s="26" t="str">
        <f>IF(A100="","",VLOOKUP($C100,일람표!$A$2:$K$36,11,FALSE))</f>
        <v/>
      </c>
      <c r="E100" s="26" t="str">
        <f>IF(A100="","",VLOOKUP($C100,일람표!$A$2:$J$36,6,FALSE))</f>
        <v/>
      </c>
      <c r="F100" s="26" t="str">
        <f>IF(A100="","",RIGHT(VLOOKUP($C100,일람표!$A$1:$H$36,2,FALSE),5))</f>
        <v/>
      </c>
      <c r="G100" s="27">
        <f>SUMIF(일람표!$A$2:$A$36,C100,일람표!H$2:H$36)</f>
        <v>0</v>
      </c>
      <c r="H100" s="27">
        <f>SUMIF(일람표!$A$2:$A$36,C100,일람표!J$2:J$36)</f>
        <v>0</v>
      </c>
      <c r="I100" s="27">
        <f>SUMIF(일람표!$A$2:$A$36,C100,일람표!E$2:E$36)</f>
        <v>0</v>
      </c>
      <c r="J100" s="28"/>
      <c r="K100" s="29"/>
      <c r="L100" s="30"/>
      <c r="M100" s="30"/>
      <c r="N100" s="30"/>
      <c r="O100" s="31"/>
      <c r="P100" s="32">
        <f t="shared" si="11"/>
        <v>0</v>
      </c>
      <c r="Q100" s="33" t="str">
        <f t="shared" si="10"/>
        <v/>
      </c>
      <c r="R100" s="34">
        <f t="shared" si="9"/>
        <v>0</v>
      </c>
      <c r="S100" s="35"/>
      <c r="T100" s="12"/>
    </row>
    <row r="101" spans="1:20" s="54" customFormat="1" ht="13.5" customHeight="1">
      <c r="A101" s="47"/>
      <c r="B101" s="46"/>
      <c r="C101" s="46"/>
      <c r="D101" s="26" t="str">
        <f>IF(A101="","",VLOOKUP($C101,일람표!$A$2:$K$36,11,FALSE))</f>
        <v/>
      </c>
      <c r="E101" s="26" t="str">
        <f>IF(A101="","",VLOOKUP($C101,일람표!$A$2:$J$36,6,FALSE))</f>
        <v/>
      </c>
      <c r="F101" s="26" t="str">
        <f>IF(A101="","",RIGHT(VLOOKUP($C101,일람표!$A$1:$H$36,2,FALSE),5))</f>
        <v/>
      </c>
      <c r="G101" s="27">
        <f>SUMIF(일람표!$A$2:$A$36,C101,일람표!H$2:H$36)</f>
        <v>0</v>
      </c>
      <c r="H101" s="27">
        <f>SUMIF(일람표!$A$2:$A$36,C101,일람표!J$2:J$36)</f>
        <v>0</v>
      </c>
      <c r="I101" s="27">
        <f>SUMIF(일람표!$A$2:$A$36,C101,일람표!E$2:E$36)</f>
        <v>0</v>
      </c>
      <c r="J101" s="28"/>
      <c r="K101" s="29"/>
      <c r="L101" s="30"/>
      <c r="M101" s="30"/>
      <c r="N101" s="30"/>
      <c r="O101" s="31"/>
      <c r="P101" s="32">
        <f t="shared" si="11"/>
        <v>0</v>
      </c>
      <c r="Q101" s="33" t="str">
        <f t="shared" si="10"/>
        <v/>
      </c>
      <c r="R101" s="34">
        <f t="shared" ref="R101:R164" si="12">+J101*0.6*(O101+L101+M101+N101)/1000</f>
        <v>0</v>
      </c>
      <c r="S101" s="35"/>
      <c r="T101" s="12"/>
    </row>
    <row r="102" spans="1:20" s="54" customFormat="1" ht="13.5" customHeight="1">
      <c r="A102" s="47"/>
      <c r="B102" s="46"/>
      <c r="C102" s="46"/>
      <c r="D102" s="26" t="str">
        <f>IF(A102="","",VLOOKUP($C102,일람표!$A$2:$K$36,11,FALSE))</f>
        <v/>
      </c>
      <c r="E102" s="26" t="str">
        <f>IF(A102="","",VLOOKUP($C102,일람표!$A$2:$J$36,6,FALSE))</f>
        <v/>
      </c>
      <c r="F102" s="26" t="str">
        <f>IF(A102="","",RIGHT(VLOOKUP($C102,일람표!$A$1:$H$36,2,FALSE),5))</f>
        <v/>
      </c>
      <c r="G102" s="27">
        <f>SUMIF(일람표!$A$2:$A$36,C102,일람표!H$2:H$36)</f>
        <v>0</v>
      </c>
      <c r="H102" s="27">
        <f>SUMIF(일람표!$A$2:$A$36,C102,일람표!J$2:J$36)</f>
        <v>0</v>
      </c>
      <c r="I102" s="27">
        <f>SUMIF(일람표!$A$2:$A$36,C102,일람표!E$2:E$36)</f>
        <v>0</v>
      </c>
      <c r="J102" s="28"/>
      <c r="K102" s="29"/>
      <c r="L102" s="30"/>
      <c r="M102" s="30"/>
      <c r="N102" s="30"/>
      <c r="O102" s="31"/>
      <c r="P102" s="32">
        <f t="shared" si="11"/>
        <v>0</v>
      </c>
      <c r="Q102" s="33" t="str">
        <f t="shared" si="10"/>
        <v/>
      </c>
      <c r="R102" s="34">
        <f t="shared" si="12"/>
        <v>0</v>
      </c>
      <c r="S102" s="35"/>
      <c r="T102" s="12"/>
    </row>
    <row r="103" spans="1:20" s="54" customFormat="1" ht="13.5" customHeight="1">
      <c r="A103" s="47"/>
      <c r="B103" s="46"/>
      <c r="C103" s="46"/>
      <c r="D103" s="26" t="str">
        <f>IF(A103="","",VLOOKUP($C103,일람표!$A$2:$K$36,11,FALSE))</f>
        <v/>
      </c>
      <c r="E103" s="26" t="str">
        <f>IF(A103="","",VLOOKUP($C103,일람표!$A$2:$J$36,6,FALSE))</f>
        <v/>
      </c>
      <c r="F103" s="26" t="str">
        <f>IF(A103="","",RIGHT(VLOOKUP($C103,일람표!$A$1:$H$36,2,FALSE),5))</f>
        <v/>
      </c>
      <c r="G103" s="27">
        <f>SUMIF(일람표!$A$2:$A$36,C103,일람표!H$2:H$36)</f>
        <v>0</v>
      </c>
      <c r="H103" s="27">
        <f>SUMIF(일람표!$A$2:$A$36,C103,일람표!J$2:J$36)</f>
        <v>0</v>
      </c>
      <c r="I103" s="27">
        <f>SUMIF(일람표!$A$2:$A$36,C103,일람표!E$2:E$36)</f>
        <v>0</v>
      </c>
      <c r="J103" s="28"/>
      <c r="K103" s="29"/>
      <c r="L103" s="30"/>
      <c r="M103" s="30"/>
      <c r="N103" s="30"/>
      <c r="O103" s="31"/>
      <c r="P103" s="32">
        <f t="shared" si="11"/>
        <v>0</v>
      </c>
      <c r="Q103" s="33" t="str">
        <f t="shared" si="10"/>
        <v/>
      </c>
      <c r="R103" s="34">
        <f t="shared" si="12"/>
        <v>0</v>
      </c>
      <c r="S103" s="35"/>
      <c r="T103" s="12"/>
    </row>
    <row r="104" spans="1:20" s="54" customFormat="1" ht="13.5" customHeight="1">
      <c r="A104" s="47"/>
      <c r="B104" s="46"/>
      <c r="C104" s="46"/>
      <c r="D104" s="26" t="str">
        <f>IF(A104="","",VLOOKUP($C104,일람표!$A$2:$K$36,11,FALSE))</f>
        <v/>
      </c>
      <c r="E104" s="26" t="str">
        <f>IF(A104="","",VLOOKUP($C104,일람표!$A$2:$J$36,6,FALSE))</f>
        <v/>
      </c>
      <c r="F104" s="26" t="str">
        <f>IF(A104="","",RIGHT(VLOOKUP($C104,일람표!$A$1:$H$36,2,FALSE),5))</f>
        <v/>
      </c>
      <c r="G104" s="27">
        <f>SUMIF(일람표!$A$2:$A$36,C104,일람표!H$2:H$36)</f>
        <v>0</v>
      </c>
      <c r="H104" s="27">
        <f>SUMIF(일람표!$A$2:$A$36,C104,일람표!J$2:J$36)</f>
        <v>0</v>
      </c>
      <c r="I104" s="27">
        <f>SUMIF(일람표!$A$2:$A$36,C104,일람표!E$2:E$36)</f>
        <v>0</v>
      </c>
      <c r="J104" s="28"/>
      <c r="K104" s="29"/>
      <c r="L104" s="30"/>
      <c r="M104" s="30"/>
      <c r="N104" s="30"/>
      <c r="O104" s="31"/>
      <c r="P104" s="32">
        <f t="shared" si="11"/>
        <v>0</v>
      </c>
      <c r="Q104" s="33" t="str">
        <f t="shared" si="10"/>
        <v/>
      </c>
      <c r="R104" s="34">
        <f t="shared" si="12"/>
        <v>0</v>
      </c>
      <c r="S104" s="35"/>
      <c r="T104" s="12"/>
    </row>
    <row r="105" spans="1:20" s="54" customFormat="1" ht="13.5" customHeight="1">
      <c r="A105" s="47"/>
      <c r="B105" s="46"/>
      <c r="C105" s="46"/>
      <c r="D105" s="26" t="str">
        <f>IF(A105="","",VLOOKUP($C105,일람표!$A$2:$K$36,11,FALSE))</f>
        <v/>
      </c>
      <c r="E105" s="26" t="str">
        <f>IF(A105="","",VLOOKUP($C105,일람표!$A$2:$J$36,6,FALSE))</f>
        <v/>
      </c>
      <c r="F105" s="26" t="str">
        <f>IF(A105="","",RIGHT(VLOOKUP($C105,일람표!$A$1:$H$36,2,FALSE),5))</f>
        <v/>
      </c>
      <c r="G105" s="27">
        <f>SUMIF(일람표!$A$2:$A$36,C105,일람표!H$2:H$36)</f>
        <v>0</v>
      </c>
      <c r="H105" s="27">
        <f>SUMIF(일람표!$A$2:$A$36,C105,일람표!J$2:J$36)</f>
        <v>0</v>
      </c>
      <c r="I105" s="27">
        <f>SUMIF(일람표!$A$2:$A$36,C105,일람표!E$2:E$36)</f>
        <v>0</v>
      </c>
      <c r="J105" s="28"/>
      <c r="K105" s="29"/>
      <c r="L105" s="30"/>
      <c r="M105" s="30"/>
      <c r="N105" s="30"/>
      <c r="O105" s="31"/>
      <c r="P105" s="32">
        <f t="shared" si="11"/>
        <v>0</v>
      </c>
      <c r="Q105" s="33" t="str">
        <f t="shared" si="10"/>
        <v/>
      </c>
      <c r="R105" s="34">
        <f t="shared" si="12"/>
        <v>0</v>
      </c>
      <c r="S105" s="35"/>
      <c r="T105" s="12"/>
    </row>
    <row r="106" spans="1:20" s="54" customFormat="1" ht="13.5" customHeight="1">
      <c r="A106" s="47"/>
      <c r="B106" s="46"/>
      <c r="C106" s="46"/>
      <c r="D106" s="26" t="str">
        <f>IF(A106="","",VLOOKUP($C106,일람표!$A$2:$K$36,11,FALSE))</f>
        <v/>
      </c>
      <c r="E106" s="26" t="str">
        <f>IF(A106="","",VLOOKUP($C106,일람표!$A$2:$J$36,6,FALSE))</f>
        <v/>
      </c>
      <c r="F106" s="26" t="str">
        <f>IF(A106="","",RIGHT(VLOOKUP($C106,일람표!$A$1:$H$36,2,FALSE),5))</f>
        <v/>
      </c>
      <c r="G106" s="27">
        <f>SUMIF(일람표!$A$2:$A$36,C106,일람표!H$2:H$36)</f>
        <v>0</v>
      </c>
      <c r="H106" s="27">
        <f>SUMIF(일람표!$A$2:$A$36,C106,일람표!J$2:J$36)</f>
        <v>0</v>
      </c>
      <c r="I106" s="27">
        <f>SUMIF(일람표!$A$2:$A$36,C106,일람표!E$2:E$36)</f>
        <v>0</v>
      </c>
      <c r="J106" s="28"/>
      <c r="K106" s="29"/>
      <c r="L106" s="30"/>
      <c r="M106" s="30"/>
      <c r="N106" s="30"/>
      <c r="O106" s="31"/>
      <c r="P106" s="32">
        <f t="shared" si="11"/>
        <v>0</v>
      </c>
      <c r="Q106" s="33" t="str">
        <f t="shared" si="10"/>
        <v/>
      </c>
      <c r="R106" s="34">
        <f t="shared" si="12"/>
        <v>0</v>
      </c>
      <c r="S106" s="35"/>
      <c r="T106" s="12"/>
    </row>
    <row r="107" spans="1:20" s="54" customFormat="1" ht="13.5" customHeight="1">
      <c r="A107" s="47"/>
      <c r="B107" s="46"/>
      <c r="C107" s="46"/>
      <c r="D107" s="26" t="str">
        <f>IF(A107="","",VLOOKUP($C107,일람표!$A$2:$K$36,11,FALSE))</f>
        <v/>
      </c>
      <c r="E107" s="26" t="str">
        <f>IF(A107="","",VLOOKUP($C107,일람표!$A$2:$J$36,6,FALSE))</f>
        <v/>
      </c>
      <c r="F107" s="26" t="str">
        <f>IF(A107="","",RIGHT(VLOOKUP($C107,일람표!$A$1:$H$36,2,FALSE),5))</f>
        <v/>
      </c>
      <c r="G107" s="27">
        <f>SUMIF(일람표!$A$2:$A$36,C107,일람표!H$2:H$36)</f>
        <v>0</v>
      </c>
      <c r="H107" s="27">
        <f>SUMIF(일람표!$A$2:$A$36,C107,일람표!J$2:J$36)</f>
        <v>0</v>
      </c>
      <c r="I107" s="27">
        <f>SUMIF(일람표!$A$2:$A$36,C107,일람표!E$2:E$36)</f>
        <v>0</v>
      </c>
      <c r="J107" s="28"/>
      <c r="K107" s="29"/>
      <c r="L107" s="30"/>
      <c r="M107" s="30"/>
      <c r="N107" s="30"/>
      <c r="O107" s="31"/>
      <c r="P107" s="32">
        <f t="shared" si="11"/>
        <v>0</v>
      </c>
      <c r="Q107" s="33" t="str">
        <f t="shared" si="10"/>
        <v/>
      </c>
      <c r="R107" s="34">
        <f t="shared" si="12"/>
        <v>0</v>
      </c>
      <c r="S107" s="35"/>
      <c r="T107" s="12"/>
    </row>
    <row r="108" spans="1:20" s="54" customFormat="1" ht="13.5" customHeight="1">
      <c r="A108" s="47"/>
      <c r="B108" s="46"/>
      <c r="C108" s="46"/>
      <c r="D108" s="26" t="str">
        <f>IF(A108="","",VLOOKUP($C108,일람표!$A$2:$K$36,11,FALSE))</f>
        <v/>
      </c>
      <c r="E108" s="26" t="str">
        <f>IF(A108="","",VLOOKUP($C108,일람표!$A$2:$J$36,6,FALSE))</f>
        <v/>
      </c>
      <c r="F108" s="26" t="str">
        <f>IF(A108="","",RIGHT(VLOOKUP($C108,일람표!$A$1:$H$36,2,FALSE),5))</f>
        <v/>
      </c>
      <c r="G108" s="27">
        <f>SUMIF(일람표!$A$2:$A$36,C108,일람표!H$2:H$36)</f>
        <v>0</v>
      </c>
      <c r="H108" s="27">
        <f>SUMIF(일람표!$A$2:$A$36,C108,일람표!J$2:J$36)</f>
        <v>0</v>
      </c>
      <c r="I108" s="27">
        <f>SUMIF(일람표!$A$2:$A$36,C108,일람표!E$2:E$36)</f>
        <v>0</v>
      </c>
      <c r="J108" s="28"/>
      <c r="K108" s="29"/>
      <c r="L108" s="30"/>
      <c r="M108" s="30"/>
      <c r="N108" s="30"/>
      <c r="O108" s="31"/>
      <c r="P108" s="32">
        <f t="shared" si="11"/>
        <v>0</v>
      </c>
      <c r="Q108" s="33" t="str">
        <f t="shared" si="10"/>
        <v/>
      </c>
      <c r="R108" s="34">
        <f t="shared" si="12"/>
        <v>0</v>
      </c>
      <c r="S108" s="35"/>
      <c r="T108" s="12"/>
    </row>
    <row r="109" spans="1:20" s="54" customFormat="1" ht="13.5" customHeight="1">
      <c r="A109" s="47"/>
      <c r="B109" s="46"/>
      <c r="C109" s="46"/>
      <c r="D109" s="26" t="str">
        <f>IF(A109="","",VLOOKUP($C109,일람표!$A$2:$K$36,11,FALSE))</f>
        <v/>
      </c>
      <c r="E109" s="26" t="str">
        <f>IF(A109="","",VLOOKUP($C109,일람표!$A$2:$J$36,6,FALSE))</f>
        <v/>
      </c>
      <c r="F109" s="26" t="str">
        <f>IF(A109="","",RIGHT(VLOOKUP($C109,일람표!$A$1:$H$36,2,FALSE),5))</f>
        <v/>
      </c>
      <c r="G109" s="27">
        <f>SUMIF(일람표!$A$2:$A$36,C109,일람표!H$2:H$36)</f>
        <v>0</v>
      </c>
      <c r="H109" s="27">
        <f>SUMIF(일람표!$A$2:$A$36,C109,일람표!J$2:J$36)</f>
        <v>0</v>
      </c>
      <c r="I109" s="27">
        <f>SUMIF(일람표!$A$2:$A$36,C109,일람표!E$2:E$36)</f>
        <v>0</v>
      </c>
      <c r="J109" s="28"/>
      <c r="K109" s="29"/>
      <c r="L109" s="30"/>
      <c r="M109" s="30"/>
      <c r="N109" s="30"/>
      <c r="O109" s="31"/>
      <c r="P109" s="32">
        <f t="shared" si="11"/>
        <v>0</v>
      </c>
      <c r="Q109" s="33" t="str">
        <f t="shared" si="10"/>
        <v/>
      </c>
      <c r="R109" s="34">
        <f t="shared" si="12"/>
        <v>0</v>
      </c>
      <c r="S109" s="35"/>
      <c r="T109" s="12"/>
    </row>
    <row r="110" spans="1:20" s="54" customFormat="1" ht="13.5" customHeight="1">
      <c r="A110" s="47"/>
      <c r="B110" s="46"/>
      <c r="C110" s="46"/>
      <c r="D110" s="26" t="str">
        <f>IF(A110="","",VLOOKUP($C110,일람표!$A$2:$K$36,11,FALSE))</f>
        <v/>
      </c>
      <c r="E110" s="26" t="str">
        <f>IF(A110="","",VLOOKUP($C110,일람표!$A$2:$J$36,6,FALSE))</f>
        <v/>
      </c>
      <c r="F110" s="26" t="str">
        <f>IF(A110="","",RIGHT(VLOOKUP($C110,일람표!$A$1:$H$36,2,FALSE),5))</f>
        <v/>
      </c>
      <c r="G110" s="27">
        <f>SUMIF(일람표!$A$2:$A$36,C110,일람표!H$2:H$36)</f>
        <v>0</v>
      </c>
      <c r="H110" s="27">
        <f>SUMIF(일람표!$A$2:$A$36,C110,일람표!J$2:J$36)</f>
        <v>0</v>
      </c>
      <c r="I110" s="27">
        <f>SUMIF(일람표!$A$2:$A$36,C110,일람표!E$2:E$36)</f>
        <v>0</v>
      </c>
      <c r="J110" s="28"/>
      <c r="K110" s="29"/>
      <c r="L110" s="30"/>
      <c r="M110" s="30"/>
      <c r="N110" s="30"/>
      <c r="O110" s="31"/>
      <c r="P110" s="32">
        <f t="shared" si="11"/>
        <v>0</v>
      </c>
      <c r="Q110" s="33" t="str">
        <f t="shared" si="10"/>
        <v/>
      </c>
      <c r="R110" s="34">
        <f t="shared" si="12"/>
        <v>0</v>
      </c>
      <c r="S110" s="35"/>
      <c r="T110" s="12"/>
    </row>
    <row r="111" spans="1:20" s="54" customFormat="1" ht="13.5" customHeight="1">
      <c r="A111" s="47"/>
      <c r="B111" s="46"/>
      <c r="C111" s="46"/>
      <c r="D111" s="26" t="str">
        <f>IF(A111="","",VLOOKUP($C111,일람표!$A$2:$K$36,11,FALSE))</f>
        <v/>
      </c>
      <c r="E111" s="26" t="str">
        <f>IF(A111="","",VLOOKUP($C111,일람표!$A$2:$J$36,6,FALSE))</f>
        <v/>
      </c>
      <c r="F111" s="26" t="str">
        <f>IF(A111="","",RIGHT(VLOOKUP($C111,일람표!$A$1:$H$36,2,FALSE),5))</f>
        <v/>
      </c>
      <c r="G111" s="27">
        <f>SUMIF(일람표!$A$2:$A$36,C111,일람표!H$2:H$36)</f>
        <v>0</v>
      </c>
      <c r="H111" s="27">
        <f>SUMIF(일람표!$A$2:$A$36,C111,일람표!J$2:J$36)</f>
        <v>0</v>
      </c>
      <c r="I111" s="27">
        <f>SUMIF(일람표!$A$2:$A$36,C111,일람표!E$2:E$36)</f>
        <v>0</v>
      </c>
      <c r="J111" s="28"/>
      <c r="K111" s="29"/>
      <c r="L111" s="30"/>
      <c r="M111" s="30"/>
      <c r="N111" s="30"/>
      <c r="O111" s="31"/>
      <c r="P111" s="32">
        <f t="shared" si="11"/>
        <v>0</v>
      </c>
      <c r="Q111" s="33" t="str">
        <f t="shared" si="10"/>
        <v/>
      </c>
      <c r="R111" s="34">
        <f t="shared" si="12"/>
        <v>0</v>
      </c>
      <c r="S111" s="35"/>
      <c r="T111" s="12"/>
    </row>
    <row r="112" spans="1:20" s="54" customFormat="1" ht="13.5" customHeight="1">
      <c r="A112" s="47"/>
      <c r="B112" s="46"/>
      <c r="C112" s="46"/>
      <c r="D112" s="26" t="str">
        <f>IF(A112="","",VLOOKUP($C112,일람표!$A$2:$K$36,11,FALSE))</f>
        <v/>
      </c>
      <c r="E112" s="26" t="str">
        <f>IF(A112="","",VLOOKUP($C112,일람표!$A$2:$J$36,6,FALSE))</f>
        <v/>
      </c>
      <c r="F112" s="26" t="str">
        <f>IF(A112="","",RIGHT(VLOOKUP($C112,일람표!$A$1:$H$36,2,FALSE),5))</f>
        <v/>
      </c>
      <c r="G112" s="27">
        <f>SUMIF(일람표!$A$2:$A$36,C112,일람표!H$2:H$36)</f>
        <v>0</v>
      </c>
      <c r="H112" s="27">
        <f>SUMIF(일람표!$A$2:$A$36,C112,일람표!J$2:J$36)</f>
        <v>0</v>
      </c>
      <c r="I112" s="27">
        <f>SUMIF(일람표!$A$2:$A$36,C112,일람표!E$2:E$36)</f>
        <v>0</v>
      </c>
      <c r="J112" s="28"/>
      <c r="K112" s="29"/>
      <c r="L112" s="30"/>
      <c r="M112" s="30"/>
      <c r="N112" s="30"/>
      <c r="O112" s="31"/>
      <c r="P112" s="32">
        <f t="shared" si="11"/>
        <v>0</v>
      </c>
      <c r="Q112" s="33" t="str">
        <f t="shared" si="10"/>
        <v/>
      </c>
      <c r="R112" s="34">
        <f t="shared" si="12"/>
        <v>0</v>
      </c>
      <c r="S112" s="35"/>
      <c r="T112" s="12"/>
    </row>
    <row r="113" spans="1:20" s="54" customFormat="1" ht="13.5" customHeight="1">
      <c r="A113" s="47"/>
      <c r="B113" s="46"/>
      <c r="C113" s="46"/>
      <c r="D113" s="26" t="str">
        <f>IF(A113="","",VLOOKUP($C113,일람표!$A$2:$K$36,11,FALSE))</f>
        <v/>
      </c>
      <c r="E113" s="26" t="str">
        <f>IF(A113="","",VLOOKUP($C113,일람표!$A$2:$J$36,6,FALSE))</f>
        <v/>
      </c>
      <c r="F113" s="26" t="str">
        <f>IF(A113="","",RIGHT(VLOOKUP($C113,일람표!$A$1:$H$36,2,FALSE),5))</f>
        <v/>
      </c>
      <c r="G113" s="27">
        <f>SUMIF(일람표!$A$2:$A$36,C113,일람표!H$2:H$36)</f>
        <v>0</v>
      </c>
      <c r="H113" s="27">
        <f>SUMIF(일람표!$A$2:$A$36,C113,일람표!J$2:J$36)</f>
        <v>0</v>
      </c>
      <c r="I113" s="27">
        <f>SUMIF(일람표!$A$2:$A$36,C113,일람표!E$2:E$36)</f>
        <v>0</v>
      </c>
      <c r="J113" s="28"/>
      <c r="K113" s="29"/>
      <c r="L113" s="30"/>
      <c r="M113" s="30"/>
      <c r="N113" s="30"/>
      <c r="O113" s="31"/>
      <c r="P113" s="32">
        <f t="shared" si="11"/>
        <v>0</v>
      </c>
      <c r="Q113" s="33" t="str">
        <f t="shared" ref="Q113:Q176" si="13">IF(A113="","",CONCATENATE(E113,F113,"-",G113))</f>
        <v/>
      </c>
      <c r="R113" s="34">
        <f t="shared" si="12"/>
        <v>0</v>
      </c>
      <c r="S113" s="35"/>
      <c r="T113" s="12"/>
    </row>
    <row r="114" spans="1:20" s="54" customFormat="1" ht="13.5" customHeight="1">
      <c r="A114" s="47"/>
      <c r="B114" s="46"/>
      <c r="C114" s="46"/>
      <c r="D114" s="26" t="str">
        <f>IF(A114="","",VLOOKUP($C114,일람표!$A$2:$K$36,11,FALSE))</f>
        <v/>
      </c>
      <c r="E114" s="26" t="str">
        <f>IF(A114="","",VLOOKUP($C114,일람표!$A$2:$J$36,6,FALSE))</f>
        <v/>
      </c>
      <c r="F114" s="26" t="str">
        <f>IF(A114="","",RIGHT(VLOOKUP($C114,일람표!$A$1:$H$36,2,FALSE),5))</f>
        <v/>
      </c>
      <c r="G114" s="27">
        <f>SUMIF(일람표!$A$2:$A$36,C114,일람표!H$2:H$36)</f>
        <v>0</v>
      </c>
      <c r="H114" s="27">
        <f>SUMIF(일람표!$A$2:$A$36,C114,일람표!J$2:J$36)</f>
        <v>0</v>
      </c>
      <c r="I114" s="27">
        <f>SUMIF(일람표!$A$2:$A$36,C114,일람표!E$2:E$36)</f>
        <v>0</v>
      </c>
      <c r="J114" s="28"/>
      <c r="K114" s="29"/>
      <c r="L114" s="30"/>
      <c r="M114" s="30"/>
      <c r="N114" s="30"/>
      <c r="O114" s="31"/>
      <c r="P114" s="32">
        <f t="shared" si="11"/>
        <v>0</v>
      </c>
      <c r="Q114" s="33" t="str">
        <f t="shared" si="13"/>
        <v/>
      </c>
      <c r="R114" s="34">
        <f t="shared" si="12"/>
        <v>0</v>
      </c>
      <c r="S114" s="35"/>
      <c r="T114" s="12"/>
    </row>
    <row r="115" spans="1:20" s="54" customFormat="1" ht="13.5" customHeight="1">
      <c r="A115" s="47"/>
      <c r="B115" s="46"/>
      <c r="C115" s="46"/>
      <c r="D115" s="26" t="str">
        <f>IF(A115="","",VLOOKUP($C115,일람표!$A$2:$K$36,11,FALSE))</f>
        <v/>
      </c>
      <c r="E115" s="26" t="str">
        <f>IF(A115="","",VLOOKUP($C115,일람표!$A$2:$J$36,6,FALSE))</f>
        <v/>
      </c>
      <c r="F115" s="26" t="str">
        <f>IF(A115="","",RIGHT(VLOOKUP($C115,일람표!$A$1:$H$36,2,FALSE),5))</f>
        <v/>
      </c>
      <c r="G115" s="27">
        <f>SUMIF(일람표!$A$2:$A$36,C115,일람표!H$2:H$36)</f>
        <v>0</v>
      </c>
      <c r="H115" s="27">
        <f>SUMIF(일람표!$A$2:$A$36,C115,일람표!J$2:J$36)</f>
        <v>0</v>
      </c>
      <c r="I115" s="27">
        <f>SUMIF(일람표!$A$2:$A$36,C115,일람표!E$2:E$36)</f>
        <v>0</v>
      </c>
      <c r="J115" s="28"/>
      <c r="K115" s="29"/>
      <c r="L115" s="30"/>
      <c r="M115" s="30"/>
      <c r="N115" s="30"/>
      <c r="O115" s="31"/>
      <c r="P115" s="32">
        <f t="shared" si="11"/>
        <v>0</v>
      </c>
      <c r="Q115" s="33" t="str">
        <f t="shared" si="13"/>
        <v/>
      </c>
      <c r="R115" s="34">
        <f t="shared" si="12"/>
        <v>0</v>
      </c>
      <c r="S115" s="35"/>
      <c r="T115" s="12"/>
    </row>
    <row r="116" spans="1:20" s="54" customFormat="1" ht="13.5" customHeight="1">
      <c r="A116" s="47"/>
      <c r="B116" s="46"/>
      <c r="C116" s="46"/>
      <c r="D116" s="26" t="str">
        <f>IF(A116="","",VLOOKUP($C116,일람표!$A$2:$K$36,11,FALSE))</f>
        <v/>
      </c>
      <c r="E116" s="26" t="str">
        <f>IF(A116="","",VLOOKUP($C116,일람표!$A$2:$J$36,6,FALSE))</f>
        <v/>
      </c>
      <c r="F116" s="26" t="str">
        <f>IF(A116="","",RIGHT(VLOOKUP($C116,일람표!$A$1:$H$36,2,FALSE),5))</f>
        <v/>
      </c>
      <c r="G116" s="27">
        <f>SUMIF(일람표!$A$2:$A$36,C116,일람표!H$2:H$36)</f>
        <v>0</v>
      </c>
      <c r="H116" s="27">
        <f>SUMIF(일람표!$A$2:$A$36,C116,일람표!J$2:J$36)</f>
        <v>0</v>
      </c>
      <c r="I116" s="27">
        <f>SUMIF(일람표!$A$2:$A$36,C116,일람표!E$2:E$36)</f>
        <v>0</v>
      </c>
      <c r="J116" s="28"/>
      <c r="K116" s="29"/>
      <c r="L116" s="30"/>
      <c r="M116" s="30"/>
      <c r="N116" s="30"/>
      <c r="O116" s="31"/>
      <c r="P116" s="32">
        <f t="shared" si="11"/>
        <v>0</v>
      </c>
      <c r="Q116" s="33" t="str">
        <f t="shared" si="13"/>
        <v/>
      </c>
      <c r="R116" s="34">
        <f t="shared" si="12"/>
        <v>0</v>
      </c>
      <c r="S116" s="35"/>
      <c r="T116" s="12"/>
    </row>
    <row r="117" spans="1:20" s="54" customFormat="1" ht="13.5" customHeight="1">
      <c r="A117" s="47"/>
      <c r="B117" s="46"/>
      <c r="C117" s="46"/>
      <c r="D117" s="26" t="str">
        <f>IF(A117="","",VLOOKUP($C117,일람표!$A$2:$K$36,11,FALSE))</f>
        <v/>
      </c>
      <c r="E117" s="26" t="str">
        <f>IF(A117="","",VLOOKUP($C117,일람표!$A$2:$J$36,6,FALSE))</f>
        <v/>
      </c>
      <c r="F117" s="26" t="str">
        <f>IF(A117="","",RIGHT(VLOOKUP($C117,일람표!$A$1:$H$36,2,FALSE),5))</f>
        <v/>
      </c>
      <c r="G117" s="27">
        <f>SUMIF(일람표!$A$2:$A$36,C117,일람표!H$2:H$36)</f>
        <v>0</v>
      </c>
      <c r="H117" s="27">
        <f>SUMIF(일람표!$A$2:$A$36,C117,일람표!J$2:J$36)</f>
        <v>0</v>
      </c>
      <c r="I117" s="27">
        <f>SUMIF(일람표!$A$2:$A$36,C117,일람표!E$2:E$36)</f>
        <v>0</v>
      </c>
      <c r="J117" s="28"/>
      <c r="K117" s="29"/>
      <c r="L117" s="30"/>
      <c r="M117" s="30"/>
      <c r="N117" s="30"/>
      <c r="O117" s="31"/>
      <c r="P117" s="32">
        <f t="shared" si="11"/>
        <v>0</v>
      </c>
      <c r="Q117" s="33" t="str">
        <f t="shared" si="13"/>
        <v/>
      </c>
      <c r="R117" s="34">
        <f t="shared" si="12"/>
        <v>0</v>
      </c>
      <c r="S117" s="35"/>
      <c r="T117" s="12"/>
    </row>
    <row r="118" spans="1:20" s="54" customFormat="1" ht="13.5" customHeight="1">
      <c r="A118" s="47"/>
      <c r="B118" s="46"/>
      <c r="C118" s="46"/>
      <c r="D118" s="26" t="str">
        <f>IF(A118="","",VLOOKUP($C118,일람표!$A$2:$K$36,11,FALSE))</f>
        <v/>
      </c>
      <c r="E118" s="26" t="str">
        <f>IF(A118="","",VLOOKUP($C118,일람표!$A$2:$J$36,6,FALSE))</f>
        <v/>
      </c>
      <c r="F118" s="26" t="str">
        <f>IF(A118="","",RIGHT(VLOOKUP($C118,일람표!$A$1:$H$36,2,FALSE),5))</f>
        <v/>
      </c>
      <c r="G118" s="27">
        <f>SUMIF(일람표!$A$2:$A$36,C118,일람표!H$2:H$36)</f>
        <v>0</v>
      </c>
      <c r="H118" s="27">
        <f>SUMIF(일람표!$A$2:$A$36,C118,일람표!J$2:J$36)</f>
        <v>0</v>
      </c>
      <c r="I118" s="27">
        <f>SUMIF(일람표!$A$2:$A$36,C118,일람표!E$2:E$36)</f>
        <v>0</v>
      </c>
      <c r="J118" s="28"/>
      <c r="K118" s="29"/>
      <c r="L118" s="30"/>
      <c r="M118" s="30"/>
      <c r="N118" s="30"/>
      <c r="O118" s="31"/>
      <c r="P118" s="32">
        <f t="shared" si="11"/>
        <v>0</v>
      </c>
      <c r="Q118" s="33" t="str">
        <f t="shared" si="13"/>
        <v/>
      </c>
      <c r="R118" s="34">
        <f t="shared" si="12"/>
        <v>0</v>
      </c>
      <c r="S118" s="35"/>
      <c r="T118" s="12"/>
    </row>
    <row r="119" spans="1:20" s="54" customFormat="1" ht="13.5" customHeight="1">
      <c r="A119" s="47"/>
      <c r="B119" s="46"/>
      <c r="C119" s="46"/>
      <c r="D119" s="26" t="str">
        <f>IF(A119="","",VLOOKUP($C119,일람표!$A$2:$K$36,11,FALSE))</f>
        <v/>
      </c>
      <c r="E119" s="26" t="str">
        <f>IF(A119="","",VLOOKUP($C119,일람표!$A$2:$J$36,6,FALSE))</f>
        <v/>
      </c>
      <c r="F119" s="26" t="str">
        <f>IF(A119="","",RIGHT(VLOOKUP($C119,일람표!$A$1:$H$36,2,FALSE),5))</f>
        <v/>
      </c>
      <c r="G119" s="27">
        <f>SUMIF(일람표!$A$2:$A$36,C119,일람표!H$2:H$36)</f>
        <v>0</v>
      </c>
      <c r="H119" s="27">
        <f>SUMIF(일람표!$A$2:$A$36,C119,일람표!J$2:J$36)</f>
        <v>0</v>
      </c>
      <c r="I119" s="27">
        <f>SUMIF(일람표!$A$2:$A$36,C119,일람표!E$2:E$36)</f>
        <v>0</v>
      </c>
      <c r="J119" s="28"/>
      <c r="K119" s="29"/>
      <c r="L119" s="30"/>
      <c r="M119" s="30"/>
      <c r="N119" s="30"/>
      <c r="O119" s="31"/>
      <c r="P119" s="32">
        <f t="shared" si="11"/>
        <v>0</v>
      </c>
      <c r="Q119" s="33" t="str">
        <f t="shared" si="13"/>
        <v/>
      </c>
      <c r="R119" s="34">
        <f t="shared" si="12"/>
        <v>0</v>
      </c>
      <c r="S119" s="35"/>
      <c r="T119" s="12"/>
    </row>
    <row r="120" spans="1:20" s="54" customFormat="1" ht="13.5" customHeight="1">
      <c r="A120" s="47"/>
      <c r="B120" s="46"/>
      <c r="C120" s="46"/>
      <c r="D120" s="26" t="str">
        <f>IF(A120="","",VLOOKUP($C120,일람표!$A$2:$K$36,11,FALSE))</f>
        <v/>
      </c>
      <c r="E120" s="26" t="str">
        <f>IF(A120="","",VLOOKUP($C120,일람표!$A$2:$J$36,6,FALSE))</f>
        <v/>
      </c>
      <c r="F120" s="26" t="str">
        <f>IF(A120="","",RIGHT(VLOOKUP($C120,일람표!$A$1:$H$36,2,FALSE),5))</f>
        <v/>
      </c>
      <c r="G120" s="27">
        <f>SUMIF(일람표!$A$2:$A$36,C120,일람표!H$2:H$36)</f>
        <v>0</v>
      </c>
      <c r="H120" s="27">
        <f>SUMIF(일람표!$A$2:$A$36,C120,일람표!J$2:J$36)</f>
        <v>0</v>
      </c>
      <c r="I120" s="27">
        <f>SUMIF(일람표!$A$2:$A$36,C120,일람표!E$2:E$36)</f>
        <v>0</v>
      </c>
      <c r="J120" s="28"/>
      <c r="K120" s="29"/>
      <c r="L120" s="30"/>
      <c r="M120" s="30"/>
      <c r="N120" s="30"/>
      <c r="O120" s="31"/>
      <c r="P120" s="32">
        <f t="shared" si="11"/>
        <v>0</v>
      </c>
      <c r="Q120" s="33" t="str">
        <f t="shared" si="13"/>
        <v/>
      </c>
      <c r="R120" s="34">
        <f t="shared" si="12"/>
        <v>0</v>
      </c>
      <c r="S120" s="35"/>
      <c r="T120" s="12"/>
    </row>
    <row r="121" spans="1:20" s="54" customFormat="1" ht="13.5" customHeight="1">
      <c r="A121" s="47"/>
      <c r="B121" s="46"/>
      <c r="C121" s="46"/>
      <c r="D121" s="26" t="str">
        <f>IF(A121="","",VLOOKUP($C121,일람표!$A$2:$K$36,11,FALSE))</f>
        <v/>
      </c>
      <c r="E121" s="26" t="str">
        <f>IF(A121="","",VLOOKUP($C121,일람표!$A$2:$J$36,6,FALSE))</f>
        <v/>
      </c>
      <c r="F121" s="26" t="str">
        <f>IF(A121="","",RIGHT(VLOOKUP($C121,일람표!$A$1:$H$36,2,FALSE),5))</f>
        <v/>
      </c>
      <c r="G121" s="27">
        <f>SUMIF(일람표!$A$2:$A$36,C121,일람표!H$2:H$36)</f>
        <v>0</v>
      </c>
      <c r="H121" s="27">
        <f>SUMIF(일람표!$A$2:$A$36,C121,일람표!J$2:J$36)</f>
        <v>0</v>
      </c>
      <c r="I121" s="27">
        <f>SUMIF(일람표!$A$2:$A$36,C121,일람표!E$2:E$36)</f>
        <v>0</v>
      </c>
      <c r="J121" s="28"/>
      <c r="K121" s="29"/>
      <c r="L121" s="30"/>
      <c r="M121" s="30"/>
      <c r="N121" s="30"/>
      <c r="O121" s="31"/>
      <c r="P121" s="32">
        <f t="shared" si="11"/>
        <v>0</v>
      </c>
      <c r="Q121" s="33" t="str">
        <f t="shared" si="13"/>
        <v/>
      </c>
      <c r="R121" s="34">
        <f t="shared" si="12"/>
        <v>0</v>
      </c>
      <c r="S121" s="35"/>
      <c r="T121" s="12"/>
    </row>
    <row r="122" spans="1:20" s="54" customFormat="1" ht="13.5" customHeight="1">
      <c r="A122" s="47"/>
      <c r="B122" s="46"/>
      <c r="C122" s="46"/>
      <c r="D122" s="26" t="str">
        <f>IF(A122="","",VLOOKUP($C122,일람표!$A$2:$K$36,11,FALSE))</f>
        <v/>
      </c>
      <c r="E122" s="26" t="str">
        <f>IF(A122="","",VLOOKUP($C122,일람표!$A$2:$J$36,6,FALSE))</f>
        <v/>
      </c>
      <c r="F122" s="26" t="str">
        <f>IF(A122="","",RIGHT(VLOOKUP($C122,일람표!$A$1:$H$36,2,FALSE),5))</f>
        <v/>
      </c>
      <c r="G122" s="27">
        <f>SUMIF(일람표!$A$2:$A$36,C122,일람표!H$2:H$36)</f>
        <v>0</v>
      </c>
      <c r="H122" s="27">
        <f>SUMIF(일람표!$A$2:$A$36,C122,일람표!J$2:J$36)</f>
        <v>0</v>
      </c>
      <c r="I122" s="27">
        <f>SUMIF(일람표!$A$2:$A$36,C122,일람표!E$2:E$36)</f>
        <v>0</v>
      </c>
      <c r="J122" s="28"/>
      <c r="K122" s="29"/>
      <c r="L122" s="30"/>
      <c r="M122" s="30"/>
      <c r="N122" s="30"/>
      <c r="O122" s="31"/>
      <c r="P122" s="32">
        <f t="shared" si="11"/>
        <v>0</v>
      </c>
      <c r="Q122" s="33" t="str">
        <f t="shared" si="13"/>
        <v/>
      </c>
      <c r="R122" s="34">
        <f t="shared" si="12"/>
        <v>0</v>
      </c>
      <c r="S122" s="35"/>
      <c r="T122" s="12"/>
    </row>
    <row r="123" spans="1:20" s="54" customFormat="1" ht="13.5" customHeight="1">
      <c r="A123" s="47"/>
      <c r="B123" s="46"/>
      <c r="C123" s="46"/>
      <c r="D123" s="26" t="str">
        <f>IF(A123="","",VLOOKUP($C123,일람표!$A$2:$K$36,11,FALSE))</f>
        <v/>
      </c>
      <c r="E123" s="26" t="str">
        <f>IF(A123="","",VLOOKUP($C123,일람표!$A$2:$J$36,6,FALSE))</f>
        <v/>
      </c>
      <c r="F123" s="26" t="str">
        <f>IF(A123="","",RIGHT(VLOOKUP($C123,일람표!$A$1:$H$36,2,FALSE),5))</f>
        <v/>
      </c>
      <c r="G123" s="27">
        <f>SUMIF(일람표!$A$2:$A$36,C123,일람표!H$2:H$36)</f>
        <v>0</v>
      </c>
      <c r="H123" s="27">
        <f>SUMIF(일람표!$A$2:$A$36,C123,일람표!J$2:J$36)</f>
        <v>0</v>
      </c>
      <c r="I123" s="27">
        <f>SUMIF(일람표!$A$2:$A$36,C123,일람표!E$2:E$36)</f>
        <v>0</v>
      </c>
      <c r="J123" s="28"/>
      <c r="K123" s="29"/>
      <c r="L123" s="30"/>
      <c r="M123" s="30"/>
      <c r="N123" s="30"/>
      <c r="O123" s="31"/>
      <c r="P123" s="32">
        <f t="shared" si="11"/>
        <v>0</v>
      </c>
      <c r="Q123" s="33" t="str">
        <f t="shared" si="13"/>
        <v/>
      </c>
      <c r="R123" s="34">
        <f t="shared" si="12"/>
        <v>0</v>
      </c>
      <c r="S123" s="35"/>
      <c r="T123" s="12"/>
    </row>
    <row r="124" spans="1:20" s="54" customFormat="1" ht="13.5" customHeight="1">
      <c r="A124" s="47"/>
      <c r="B124" s="46"/>
      <c r="C124" s="46"/>
      <c r="D124" s="26" t="str">
        <f>IF(A124="","",VLOOKUP($C124,일람표!$A$2:$K$36,11,FALSE))</f>
        <v/>
      </c>
      <c r="E124" s="26" t="str">
        <f>IF(A124="","",VLOOKUP($C124,일람표!$A$2:$J$36,6,FALSE))</f>
        <v/>
      </c>
      <c r="F124" s="26" t="str">
        <f>IF(A124="","",RIGHT(VLOOKUP($C124,일람표!$A$1:$H$36,2,FALSE),5))</f>
        <v/>
      </c>
      <c r="G124" s="27">
        <f>SUMIF(일람표!$A$2:$A$36,C124,일람표!H$2:H$36)</f>
        <v>0</v>
      </c>
      <c r="H124" s="27">
        <f>SUMIF(일람표!$A$2:$A$36,C124,일람표!J$2:J$36)</f>
        <v>0</v>
      </c>
      <c r="I124" s="27">
        <f>SUMIF(일람표!$A$2:$A$36,C124,일람표!E$2:E$36)</f>
        <v>0</v>
      </c>
      <c r="J124" s="28"/>
      <c r="K124" s="29"/>
      <c r="L124" s="30"/>
      <c r="M124" s="30"/>
      <c r="N124" s="30"/>
      <c r="O124" s="31"/>
      <c r="P124" s="32">
        <f t="shared" si="11"/>
        <v>0</v>
      </c>
      <c r="Q124" s="33" t="str">
        <f t="shared" si="13"/>
        <v/>
      </c>
      <c r="R124" s="34">
        <f t="shared" si="12"/>
        <v>0</v>
      </c>
      <c r="S124" s="35"/>
      <c r="T124" s="12"/>
    </row>
    <row r="125" spans="1:20" s="54" customFormat="1" ht="13.5" customHeight="1">
      <c r="A125" s="47"/>
      <c r="B125" s="46"/>
      <c r="C125" s="46"/>
      <c r="D125" s="26" t="str">
        <f>IF(A125="","",VLOOKUP($C125,일람표!$A$2:$K$36,11,FALSE))</f>
        <v/>
      </c>
      <c r="E125" s="26" t="str">
        <f>IF(A125="","",VLOOKUP($C125,일람표!$A$2:$J$36,6,FALSE))</f>
        <v/>
      </c>
      <c r="F125" s="26" t="str">
        <f>IF(A125="","",RIGHT(VLOOKUP($C125,일람표!$A$1:$H$36,2,FALSE),5))</f>
        <v/>
      </c>
      <c r="G125" s="27">
        <f>SUMIF(일람표!$A$2:$A$36,C125,일람표!H$2:H$36)</f>
        <v>0</v>
      </c>
      <c r="H125" s="27">
        <f>SUMIF(일람표!$A$2:$A$36,C125,일람표!J$2:J$36)</f>
        <v>0</v>
      </c>
      <c r="I125" s="27">
        <f>SUMIF(일람표!$A$2:$A$36,C125,일람표!E$2:E$36)</f>
        <v>0</v>
      </c>
      <c r="J125" s="28"/>
      <c r="K125" s="29"/>
      <c r="L125" s="30"/>
      <c r="M125" s="30"/>
      <c r="N125" s="30"/>
      <c r="O125" s="31"/>
      <c r="P125" s="32">
        <f t="shared" si="11"/>
        <v>0</v>
      </c>
      <c r="Q125" s="33" t="str">
        <f t="shared" si="13"/>
        <v/>
      </c>
      <c r="R125" s="34">
        <f t="shared" si="12"/>
        <v>0</v>
      </c>
      <c r="S125" s="35"/>
      <c r="T125" s="12"/>
    </row>
    <row r="126" spans="1:20" s="54" customFormat="1" ht="13.5" customHeight="1">
      <c r="A126" s="47"/>
      <c r="B126" s="46"/>
      <c r="C126" s="46"/>
      <c r="D126" s="26" t="str">
        <f>IF(A126="","",VLOOKUP($C126,일람표!$A$2:$K$36,11,FALSE))</f>
        <v/>
      </c>
      <c r="E126" s="26" t="str">
        <f>IF(A126="","",VLOOKUP($C126,일람표!$A$2:$J$36,6,FALSE))</f>
        <v/>
      </c>
      <c r="F126" s="26" t="str">
        <f>IF(A126="","",RIGHT(VLOOKUP($C126,일람표!$A$1:$H$36,2,FALSE),5))</f>
        <v/>
      </c>
      <c r="G126" s="27">
        <f>SUMIF(일람표!$A$2:$A$36,C126,일람표!H$2:H$36)</f>
        <v>0</v>
      </c>
      <c r="H126" s="27">
        <f>SUMIF(일람표!$A$2:$A$36,C126,일람표!J$2:J$36)</f>
        <v>0</v>
      </c>
      <c r="I126" s="27">
        <f>SUMIF(일람표!$A$2:$A$36,C126,일람표!E$2:E$36)</f>
        <v>0</v>
      </c>
      <c r="J126" s="28"/>
      <c r="K126" s="29"/>
      <c r="L126" s="30"/>
      <c r="M126" s="30"/>
      <c r="N126" s="30"/>
      <c r="O126" s="31"/>
      <c r="P126" s="32">
        <f t="shared" si="11"/>
        <v>0</v>
      </c>
      <c r="Q126" s="33" t="str">
        <f t="shared" si="13"/>
        <v/>
      </c>
      <c r="R126" s="34">
        <f t="shared" si="12"/>
        <v>0</v>
      </c>
      <c r="S126" s="35"/>
      <c r="T126" s="12"/>
    </row>
    <row r="127" spans="1:20" s="54" customFormat="1" ht="13.5" customHeight="1">
      <c r="A127" s="47"/>
      <c r="B127" s="46"/>
      <c r="C127" s="46"/>
      <c r="D127" s="26" t="str">
        <f>IF(A127="","",VLOOKUP($C127,일람표!$A$2:$K$36,11,FALSE))</f>
        <v/>
      </c>
      <c r="E127" s="26" t="str">
        <f>IF(A127="","",VLOOKUP($C127,일람표!$A$2:$J$36,6,FALSE))</f>
        <v/>
      </c>
      <c r="F127" s="26" t="str">
        <f>IF(A127="","",RIGHT(VLOOKUP($C127,일람표!$A$1:$H$36,2,FALSE),5))</f>
        <v/>
      </c>
      <c r="G127" s="27">
        <f>SUMIF(일람표!$A$2:$A$36,C127,일람표!H$2:H$36)</f>
        <v>0</v>
      </c>
      <c r="H127" s="27">
        <f>SUMIF(일람표!$A$2:$A$36,C127,일람표!J$2:J$36)</f>
        <v>0</v>
      </c>
      <c r="I127" s="27">
        <f>SUMIF(일람표!$A$2:$A$36,C127,일람표!E$2:E$36)</f>
        <v>0</v>
      </c>
      <c r="J127" s="28"/>
      <c r="K127" s="29"/>
      <c r="L127" s="30"/>
      <c r="M127" s="30"/>
      <c r="N127" s="30"/>
      <c r="O127" s="31"/>
      <c r="P127" s="32">
        <f t="shared" si="11"/>
        <v>0</v>
      </c>
      <c r="Q127" s="33" t="str">
        <f t="shared" si="13"/>
        <v/>
      </c>
      <c r="R127" s="34">
        <f t="shared" si="12"/>
        <v>0</v>
      </c>
      <c r="S127" s="35"/>
      <c r="T127" s="12"/>
    </row>
    <row r="128" spans="1:20" s="54" customFormat="1" ht="13.5" customHeight="1">
      <c r="A128" s="47"/>
      <c r="B128" s="46"/>
      <c r="C128" s="46"/>
      <c r="D128" s="26" t="str">
        <f>IF(A128="","",VLOOKUP($C128,일람표!$A$2:$K$36,11,FALSE))</f>
        <v/>
      </c>
      <c r="E128" s="26" t="str">
        <f>IF(A128="","",VLOOKUP($C128,일람표!$A$2:$J$36,6,FALSE))</f>
        <v/>
      </c>
      <c r="F128" s="26" t="str">
        <f>IF(A128="","",RIGHT(VLOOKUP($C128,일람표!$A$1:$H$36,2,FALSE),5))</f>
        <v/>
      </c>
      <c r="G128" s="27">
        <f>SUMIF(일람표!$A$2:$A$36,C128,일람표!H$2:H$36)</f>
        <v>0</v>
      </c>
      <c r="H128" s="27">
        <f>SUMIF(일람표!$A$2:$A$36,C128,일람표!J$2:J$36)</f>
        <v>0</v>
      </c>
      <c r="I128" s="27">
        <f>SUMIF(일람표!$A$2:$A$36,C128,일람표!E$2:E$36)</f>
        <v>0</v>
      </c>
      <c r="J128" s="28"/>
      <c r="K128" s="29"/>
      <c r="L128" s="30"/>
      <c r="M128" s="30"/>
      <c r="N128" s="30"/>
      <c r="O128" s="31"/>
      <c r="P128" s="32">
        <f t="shared" si="11"/>
        <v>0</v>
      </c>
      <c r="Q128" s="33" t="str">
        <f t="shared" si="13"/>
        <v/>
      </c>
      <c r="R128" s="34">
        <f t="shared" si="12"/>
        <v>0</v>
      </c>
      <c r="S128" s="35"/>
      <c r="T128" s="12"/>
    </row>
    <row r="129" spans="1:20" s="54" customFormat="1" ht="13.5" customHeight="1">
      <c r="A129" s="47"/>
      <c r="B129" s="46"/>
      <c r="C129" s="46"/>
      <c r="D129" s="26" t="str">
        <f>IF(A129="","",VLOOKUP($C129,일람표!$A$2:$K$36,11,FALSE))</f>
        <v/>
      </c>
      <c r="E129" s="26" t="str">
        <f>IF(A129="","",VLOOKUP($C129,일람표!$A$2:$J$36,6,FALSE))</f>
        <v/>
      </c>
      <c r="F129" s="26" t="str">
        <f>IF(A129="","",RIGHT(VLOOKUP($C129,일람표!$A$1:$H$36,2,FALSE),5))</f>
        <v/>
      </c>
      <c r="G129" s="27">
        <f>SUMIF(일람표!$A$2:$A$36,C129,일람표!H$2:H$36)</f>
        <v>0</v>
      </c>
      <c r="H129" s="27">
        <f>SUMIF(일람표!$A$2:$A$36,C129,일람표!J$2:J$36)</f>
        <v>0</v>
      </c>
      <c r="I129" s="27">
        <f>SUMIF(일람표!$A$2:$A$36,C129,일람표!E$2:E$36)</f>
        <v>0</v>
      </c>
      <c r="J129" s="28"/>
      <c r="K129" s="29"/>
      <c r="L129" s="30"/>
      <c r="M129" s="30"/>
      <c r="N129" s="30"/>
      <c r="O129" s="31"/>
      <c r="P129" s="32">
        <f t="shared" si="11"/>
        <v>0</v>
      </c>
      <c r="Q129" s="33" t="str">
        <f t="shared" si="13"/>
        <v/>
      </c>
      <c r="R129" s="34">
        <f t="shared" si="12"/>
        <v>0</v>
      </c>
      <c r="S129" s="35"/>
      <c r="T129" s="12"/>
    </row>
    <row r="130" spans="1:20" s="54" customFormat="1" ht="13.5" customHeight="1">
      <c r="A130" s="47"/>
      <c r="B130" s="46"/>
      <c r="C130" s="46"/>
      <c r="D130" s="26" t="str">
        <f>IF(A130="","",VLOOKUP($C130,일람표!$A$2:$K$36,11,FALSE))</f>
        <v/>
      </c>
      <c r="E130" s="26" t="str">
        <f>IF(A130="","",VLOOKUP($C130,일람표!$A$2:$J$36,6,FALSE))</f>
        <v/>
      </c>
      <c r="F130" s="26" t="str">
        <f>IF(A130="","",RIGHT(VLOOKUP($C130,일람표!$A$1:$H$36,2,FALSE),5))</f>
        <v/>
      </c>
      <c r="G130" s="27">
        <f>SUMIF(일람표!$A$2:$A$36,C130,일람표!H$2:H$36)</f>
        <v>0</v>
      </c>
      <c r="H130" s="27">
        <f>SUMIF(일람표!$A$2:$A$36,C130,일람표!J$2:J$36)</f>
        <v>0</v>
      </c>
      <c r="I130" s="27">
        <f>SUMIF(일람표!$A$2:$A$36,C130,일람표!E$2:E$36)</f>
        <v>0</v>
      </c>
      <c r="J130" s="28"/>
      <c r="K130" s="29"/>
      <c r="L130" s="30"/>
      <c r="M130" s="30"/>
      <c r="N130" s="30"/>
      <c r="O130" s="31"/>
      <c r="P130" s="32">
        <f t="shared" si="11"/>
        <v>0</v>
      </c>
      <c r="Q130" s="33" t="str">
        <f t="shared" si="13"/>
        <v/>
      </c>
      <c r="R130" s="34">
        <f t="shared" si="12"/>
        <v>0</v>
      </c>
      <c r="S130" s="35"/>
      <c r="T130" s="12"/>
    </row>
    <row r="131" spans="1:20" s="54" customFormat="1" ht="13.5" customHeight="1">
      <c r="A131" s="47"/>
      <c r="B131" s="46"/>
      <c r="C131" s="46"/>
      <c r="D131" s="26" t="str">
        <f>IF(A131="","",VLOOKUP($C131,일람표!$A$2:$K$36,11,FALSE))</f>
        <v/>
      </c>
      <c r="E131" s="26" t="str">
        <f>IF(A131="","",VLOOKUP($C131,일람표!$A$2:$J$36,6,FALSE))</f>
        <v/>
      </c>
      <c r="F131" s="26" t="str">
        <f>IF(A131="","",RIGHT(VLOOKUP($C131,일람표!$A$1:$H$36,2,FALSE),5))</f>
        <v/>
      </c>
      <c r="G131" s="27">
        <f>SUMIF(일람표!$A$2:$A$36,C131,일람표!H$2:H$36)</f>
        <v>0</v>
      </c>
      <c r="H131" s="27">
        <f>SUMIF(일람표!$A$2:$A$36,C131,일람표!J$2:J$36)</f>
        <v>0</v>
      </c>
      <c r="I131" s="27">
        <f>SUMIF(일람표!$A$2:$A$36,C131,일람표!E$2:E$36)</f>
        <v>0</v>
      </c>
      <c r="J131" s="28"/>
      <c r="K131" s="29"/>
      <c r="L131" s="30"/>
      <c r="M131" s="30"/>
      <c r="N131" s="30"/>
      <c r="O131" s="31"/>
      <c r="P131" s="32">
        <f t="shared" ref="P131:P194" si="14">K131+L131+M131+N131+O131</f>
        <v>0</v>
      </c>
      <c r="Q131" s="33" t="str">
        <f t="shared" si="13"/>
        <v/>
      </c>
      <c r="R131" s="34">
        <f t="shared" si="12"/>
        <v>0</v>
      </c>
      <c r="S131" s="35"/>
      <c r="T131" s="12"/>
    </row>
    <row r="132" spans="1:20" s="54" customFormat="1" ht="13.5" customHeight="1">
      <c r="A132" s="47"/>
      <c r="B132" s="46"/>
      <c r="C132" s="46"/>
      <c r="D132" s="26" t="str">
        <f>IF(A132="","",VLOOKUP($C132,일람표!$A$2:$K$36,11,FALSE))</f>
        <v/>
      </c>
      <c r="E132" s="26" t="str">
        <f>IF(A132="","",VLOOKUP($C132,일람표!$A$2:$J$36,6,FALSE))</f>
        <v/>
      </c>
      <c r="F132" s="26" t="str">
        <f>IF(A132="","",RIGHT(VLOOKUP($C132,일람표!$A$1:$H$36,2,FALSE),5))</f>
        <v/>
      </c>
      <c r="G132" s="27">
        <f>SUMIF(일람표!$A$2:$A$36,C132,일람표!H$2:H$36)</f>
        <v>0</v>
      </c>
      <c r="H132" s="27">
        <f>SUMIF(일람표!$A$2:$A$36,C132,일람표!J$2:J$36)</f>
        <v>0</v>
      </c>
      <c r="I132" s="27">
        <f>SUMIF(일람표!$A$2:$A$36,C132,일람표!E$2:E$36)</f>
        <v>0</v>
      </c>
      <c r="J132" s="28"/>
      <c r="K132" s="29"/>
      <c r="L132" s="30"/>
      <c r="M132" s="30"/>
      <c r="N132" s="30"/>
      <c r="O132" s="31"/>
      <c r="P132" s="32">
        <f t="shared" si="14"/>
        <v>0</v>
      </c>
      <c r="Q132" s="33" t="str">
        <f t="shared" si="13"/>
        <v/>
      </c>
      <c r="R132" s="34">
        <f t="shared" si="12"/>
        <v>0</v>
      </c>
      <c r="S132" s="35"/>
      <c r="T132" s="12"/>
    </row>
    <row r="133" spans="1:20" s="54" customFormat="1" ht="13.5" customHeight="1">
      <c r="A133" s="47"/>
      <c r="B133" s="46"/>
      <c r="C133" s="46"/>
      <c r="D133" s="26" t="str">
        <f>IF(A133="","",VLOOKUP($C133,일람표!$A$2:$K$36,11,FALSE))</f>
        <v/>
      </c>
      <c r="E133" s="26" t="str">
        <f>IF(A133="","",VLOOKUP($C133,일람표!$A$2:$J$36,6,FALSE))</f>
        <v/>
      </c>
      <c r="F133" s="26" t="str">
        <f>IF(A133="","",RIGHT(VLOOKUP($C133,일람표!$A$1:$H$36,2,FALSE),5))</f>
        <v/>
      </c>
      <c r="G133" s="27">
        <f>SUMIF(일람표!$A$2:$A$36,C133,일람표!H$2:H$36)</f>
        <v>0</v>
      </c>
      <c r="H133" s="27">
        <f>SUMIF(일람표!$A$2:$A$36,C133,일람표!J$2:J$36)</f>
        <v>0</v>
      </c>
      <c r="I133" s="27">
        <f>SUMIF(일람표!$A$2:$A$36,C133,일람표!E$2:E$36)</f>
        <v>0</v>
      </c>
      <c r="J133" s="28"/>
      <c r="K133" s="29"/>
      <c r="L133" s="30"/>
      <c r="M133" s="30"/>
      <c r="N133" s="30"/>
      <c r="O133" s="31"/>
      <c r="P133" s="32">
        <f t="shared" si="14"/>
        <v>0</v>
      </c>
      <c r="Q133" s="33" t="str">
        <f t="shared" si="13"/>
        <v/>
      </c>
      <c r="R133" s="34">
        <f t="shared" si="12"/>
        <v>0</v>
      </c>
      <c r="S133" s="35"/>
      <c r="T133" s="12"/>
    </row>
    <row r="134" spans="1:20" s="54" customFormat="1" ht="13.5" customHeight="1">
      <c r="A134" s="47"/>
      <c r="B134" s="46"/>
      <c r="C134" s="46"/>
      <c r="D134" s="26" t="str">
        <f>IF(A134="","",VLOOKUP($C134,일람표!$A$2:$K$36,11,FALSE))</f>
        <v/>
      </c>
      <c r="E134" s="26" t="str">
        <f>IF(A134="","",VLOOKUP($C134,일람표!$A$2:$J$36,6,FALSE))</f>
        <v/>
      </c>
      <c r="F134" s="26" t="str">
        <f>IF(A134="","",RIGHT(VLOOKUP($C134,일람표!$A$1:$H$36,2,FALSE),5))</f>
        <v/>
      </c>
      <c r="G134" s="27">
        <f>SUMIF(일람표!$A$2:$A$36,C134,일람표!H$2:H$36)</f>
        <v>0</v>
      </c>
      <c r="H134" s="27">
        <f>SUMIF(일람표!$A$2:$A$36,C134,일람표!J$2:J$36)</f>
        <v>0</v>
      </c>
      <c r="I134" s="27">
        <f>SUMIF(일람표!$A$2:$A$36,C134,일람표!E$2:E$36)</f>
        <v>0</v>
      </c>
      <c r="J134" s="28"/>
      <c r="K134" s="29"/>
      <c r="L134" s="30"/>
      <c r="M134" s="30"/>
      <c r="N134" s="30"/>
      <c r="O134" s="31"/>
      <c r="P134" s="32">
        <f t="shared" si="14"/>
        <v>0</v>
      </c>
      <c r="Q134" s="33" t="str">
        <f t="shared" si="13"/>
        <v/>
      </c>
      <c r="R134" s="34">
        <f t="shared" si="12"/>
        <v>0</v>
      </c>
      <c r="S134" s="35"/>
      <c r="T134" s="12"/>
    </row>
    <row r="135" spans="1:20" s="54" customFormat="1" ht="13.5" customHeight="1">
      <c r="A135" s="47"/>
      <c r="B135" s="46"/>
      <c r="C135" s="46"/>
      <c r="D135" s="26" t="str">
        <f>IF(A135="","",VLOOKUP($C135,일람표!$A$2:$K$36,11,FALSE))</f>
        <v/>
      </c>
      <c r="E135" s="26" t="str">
        <f>IF(A135="","",VLOOKUP($C135,일람표!$A$2:$J$36,6,FALSE))</f>
        <v/>
      </c>
      <c r="F135" s="26" t="str">
        <f>IF(A135="","",RIGHT(VLOOKUP($C135,일람표!$A$1:$H$36,2,FALSE),5))</f>
        <v/>
      </c>
      <c r="G135" s="27">
        <f>SUMIF(일람표!$A$2:$A$36,C135,일람표!H$2:H$36)</f>
        <v>0</v>
      </c>
      <c r="H135" s="27">
        <f>SUMIF(일람표!$A$2:$A$36,C135,일람표!J$2:J$36)</f>
        <v>0</v>
      </c>
      <c r="I135" s="27">
        <f>SUMIF(일람표!$A$2:$A$36,C135,일람표!E$2:E$36)</f>
        <v>0</v>
      </c>
      <c r="J135" s="28"/>
      <c r="K135" s="29"/>
      <c r="L135" s="30"/>
      <c r="M135" s="30"/>
      <c r="N135" s="30"/>
      <c r="O135" s="31"/>
      <c r="P135" s="32">
        <f t="shared" si="14"/>
        <v>0</v>
      </c>
      <c r="Q135" s="33" t="str">
        <f t="shared" si="13"/>
        <v/>
      </c>
      <c r="R135" s="34">
        <f t="shared" si="12"/>
        <v>0</v>
      </c>
      <c r="S135" s="35"/>
      <c r="T135" s="12"/>
    </row>
    <row r="136" spans="1:20" s="54" customFormat="1" ht="13.5" customHeight="1">
      <c r="A136" s="47"/>
      <c r="B136" s="46"/>
      <c r="C136" s="46"/>
      <c r="D136" s="26" t="str">
        <f>IF(A136="","",VLOOKUP($C136,일람표!$A$2:$K$36,11,FALSE))</f>
        <v/>
      </c>
      <c r="E136" s="26" t="str">
        <f>IF(A136="","",VLOOKUP($C136,일람표!$A$2:$J$36,6,FALSE))</f>
        <v/>
      </c>
      <c r="F136" s="26" t="str">
        <f>IF(A136="","",RIGHT(VLOOKUP($C136,일람표!$A$1:$H$36,2,FALSE),5))</f>
        <v/>
      </c>
      <c r="G136" s="27">
        <f>SUMIF(일람표!$A$2:$A$36,C136,일람표!H$2:H$36)</f>
        <v>0</v>
      </c>
      <c r="H136" s="27">
        <f>SUMIF(일람표!$A$2:$A$36,C136,일람표!J$2:J$36)</f>
        <v>0</v>
      </c>
      <c r="I136" s="27">
        <f>SUMIF(일람표!$A$2:$A$36,C136,일람표!E$2:E$36)</f>
        <v>0</v>
      </c>
      <c r="J136" s="28"/>
      <c r="K136" s="29"/>
      <c r="L136" s="30"/>
      <c r="M136" s="30"/>
      <c r="N136" s="30"/>
      <c r="O136" s="31"/>
      <c r="P136" s="32">
        <f t="shared" si="14"/>
        <v>0</v>
      </c>
      <c r="Q136" s="33" t="str">
        <f t="shared" si="13"/>
        <v/>
      </c>
      <c r="R136" s="34">
        <f t="shared" si="12"/>
        <v>0</v>
      </c>
      <c r="S136" s="35"/>
      <c r="T136" s="12"/>
    </row>
    <row r="137" spans="1:20" s="54" customFormat="1" ht="13.5" customHeight="1">
      <c r="A137" s="47"/>
      <c r="B137" s="46"/>
      <c r="C137" s="46"/>
      <c r="D137" s="26" t="str">
        <f>IF(A137="","",VLOOKUP($C137,일람표!$A$2:$K$36,11,FALSE))</f>
        <v/>
      </c>
      <c r="E137" s="26" t="str">
        <f>IF(A137="","",VLOOKUP($C137,일람표!$A$2:$J$36,6,FALSE))</f>
        <v/>
      </c>
      <c r="F137" s="26" t="str">
        <f>IF(A137="","",RIGHT(VLOOKUP($C137,일람표!$A$1:$H$36,2,FALSE),5))</f>
        <v/>
      </c>
      <c r="G137" s="27">
        <f>SUMIF(일람표!$A$2:$A$36,C137,일람표!H$2:H$36)</f>
        <v>0</v>
      </c>
      <c r="H137" s="27">
        <f>SUMIF(일람표!$A$2:$A$36,C137,일람표!J$2:J$36)</f>
        <v>0</v>
      </c>
      <c r="I137" s="27">
        <f>SUMIF(일람표!$A$2:$A$36,C137,일람표!E$2:E$36)</f>
        <v>0</v>
      </c>
      <c r="J137" s="28"/>
      <c r="K137" s="29"/>
      <c r="L137" s="30"/>
      <c r="M137" s="30"/>
      <c r="N137" s="30"/>
      <c r="O137" s="31"/>
      <c r="P137" s="32">
        <f t="shared" si="14"/>
        <v>0</v>
      </c>
      <c r="Q137" s="33" t="str">
        <f t="shared" si="13"/>
        <v/>
      </c>
      <c r="R137" s="34">
        <f t="shared" si="12"/>
        <v>0</v>
      </c>
      <c r="S137" s="35"/>
      <c r="T137" s="12"/>
    </row>
    <row r="138" spans="1:20" s="54" customFormat="1" ht="13.5" customHeight="1">
      <c r="A138" s="47"/>
      <c r="B138" s="46"/>
      <c r="C138" s="46"/>
      <c r="D138" s="26" t="str">
        <f>IF(A138="","",VLOOKUP($C138,일람표!$A$2:$K$36,11,FALSE))</f>
        <v/>
      </c>
      <c r="E138" s="26" t="str">
        <f>IF(A138="","",VLOOKUP($C138,일람표!$A$2:$J$36,6,FALSE))</f>
        <v/>
      </c>
      <c r="F138" s="26" t="str">
        <f>IF(A138="","",RIGHT(VLOOKUP($C138,일람표!$A$1:$H$36,2,FALSE),5))</f>
        <v/>
      </c>
      <c r="G138" s="27">
        <f>SUMIF(일람표!$A$2:$A$36,C138,일람표!H$2:H$36)</f>
        <v>0</v>
      </c>
      <c r="H138" s="27">
        <f>SUMIF(일람표!$A$2:$A$36,C138,일람표!J$2:J$36)</f>
        <v>0</v>
      </c>
      <c r="I138" s="27">
        <f>SUMIF(일람표!$A$2:$A$36,C138,일람표!E$2:E$36)</f>
        <v>0</v>
      </c>
      <c r="J138" s="28"/>
      <c r="K138" s="29"/>
      <c r="L138" s="30"/>
      <c r="M138" s="30"/>
      <c r="N138" s="30"/>
      <c r="O138" s="31"/>
      <c r="P138" s="32">
        <f t="shared" si="14"/>
        <v>0</v>
      </c>
      <c r="Q138" s="33" t="str">
        <f t="shared" si="13"/>
        <v/>
      </c>
      <c r="R138" s="34">
        <f t="shared" si="12"/>
        <v>0</v>
      </c>
      <c r="S138" s="35"/>
      <c r="T138" s="12"/>
    </row>
    <row r="139" spans="1:20" s="54" customFormat="1" ht="13.5" customHeight="1">
      <c r="A139" s="47"/>
      <c r="B139" s="46"/>
      <c r="C139" s="46"/>
      <c r="D139" s="26" t="str">
        <f>IF(A139="","",VLOOKUP($C139,일람표!$A$2:$K$36,11,FALSE))</f>
        <v/>
      </c>
      <c r="E139" s="26" t="str">
        <f>IF(A139="","",VLOOKUP($C139,일람표!$A$2:$J$36,6,FALSE))</f>
        <v/>
      </c>
      <c r="F139" s="26" t="str">
        <f>IF(A139="","",RIGHT(VLOOKUP($C139,일람표!$A$1:$H$36,2,FALSE),5))</f>
        <v/>
      </c>
      <c r="G139" s="27">
        <f>SUMIF(일람표!$A$2:$A$36,C139,일람표!H$2:H$36)</f>
        <v>0</v>
      </c>
      <c r="H139" s="27">
        <f>SUMIF(일람표!$A$2:$A$36,C139,일람표!J$2:J$36)</f>
        <v>0</v>
      </c>
      <c r="I139" s="27">
        <f>SUMIF(일람표!$A$2:$A$36,C139,일람표!E$2:E$36)</f>
        <v>0</v>
      </c>
      <c r="J139" s="28"/>
      <c r="K139" s="29"/>
      <c r="L139" s="30"/>
      <c r="M139" s="30"/>
      <c r="N139" s="30"/>
      <c r="O139" s="31"/>
      <c r="P139" s="32">
        <f t="shared" si="14"/>
        <v>0</v>
      </c>
      <c r="Q139" s="33" t="str">
        <f t="shared" si="13"/>
        <v/>
      </c>
      <c r="R139" s="34">
        <f t="shared" si="12"/>
        <v>0</v>
      </c>
      <c r="S139" s="35"/>
      <c r="T139" s="12"/>
    </row>
    <row r="140" spans="1:20" s="54" customFormat="1" ht="13.5" customHeight="1">
      <c r="A140" s="47"/>
      <c r="B140" s="46"/>
      <c r="C140" s="46"/>
      <c r="D140" s="26" t="str">
        <f>IF(A140="","",VLOOKUP($C140,일람표!$A$2:$K$36,11,FALSE))</f>
        <v/>
      </c>
      <c r="E140" s="26" t="str">
        <f>IF(A140="","",VLOOKUP($C140,일람표!$A$2:$J$36,6,FALSE))</f>
        <v/>
      </c>
      <c r="F140" s="26" t="str">
        <f>IF(A140="","",RIGHT(VLOOKUP($C140,일람표!$A$1:$H$36,2,FALSE),5))</f>
        <v/>
      </c>
      <c r="G140" s="27">
        <f>SUMIF(일람표!$A$2:$A$36,C140,일람표!H$2:H$36)</f>
        <v>0</v>
      </c>
      <c r="H140" s="27">
        <f>SUMIF(일람표!$A$2:$A$36,C140,일람표!J$2:J$36)</f>
        <v>0</v>
      </c>
      <c r="I140" s="27">
        <f>SUMIF(일람표!$A$2:$A$36,C140,일람표!E$2:E$36)</f>
        <v>0</v>
      </c>
      <c r="J140" s="28"/>
      <c r="K140" s="29"/>
      <c r="L140" s="30"/>
      <c r="M140" s="30"/>
      <c r="N140" s="30"/>
      <c r="O140" s="31"/>
      <c r="P140" s="32">
        <f t="shared" si="14"/>
        <v>0</v>
      </c>
      <c r="Q140" s="33" t="str">
        <f t="shared" si="13"/>
        <v/>
      </c>
      <c r="R140" s="34">
        <f t="shared" si="12"/>
        <v>0</v>
      </c>
      <c r="S140" s="35"/>
      <c r="T140" s="12"/>
    </row>
    <row r="141" spans="1:20" s="54" customFormat="1" ht="13.5" customHeight="1">
      <c r="A141" s="47"/>
      <c r="B141" s="46"/>
      <c r="C141" s="46"/>
      <c r="D141" s="26" t="str">
        <f>IF(A141="","",VLOOKUP($C141,일람표!$A$2:$K$36,11,FALSE))</f>
        <v/>
      </c>
      <c r="E141" s="26" t="str">
        <f>IF(A141="","",VLOOKUP($C141,일람표!$A$2:$J$36,6,FALSE))</f>
        <v/>
      </c>
      <c r="F141" s="26" t="str">
        <f>IF(A141="","",RIGHT(VLOOKUP($C141,일람표!$A$1:$H$36,2,FALSE),5))</f>
        <v/>
      </c>
      <c r="G141" s="27">
        <f>SUMIF(일람표!$A$2:$A$36,C141,일람표!H$2:H$36)</f>
        <v>0</v>
      </c>
      <c r="H141" s="27">
        <f>SUMIF(일람표!$A$2:$A$36,C141,일람표!J$2:J$36)</f>
        <v>0</v>
      </c>
      <c r="I141" s="27">
        <f>SUMIF(일람표!$A$2:$A$36,C141,일람표!E$2:E$36)</f>
        <v>0</v>
      </c>
      <c r="J141" s="28"/>
      <c r="K141" s="29"/>
      <c r="L141" s="30"/>
      <c r="M141" s="30"/>
      <c r="N141" s="30"/>
      <c r="O141" s="31"/>
      <c r="P141" s="32">
        <f t="shared" si="14"/>
        <v>0</v>
      </c>
      <c r="Q141" s="33" t="str">
        <f t="shared" si="13"/>
        <v/>
      </c>
      <c r="R141" s="34">
        <f t="shared" si="12"/>
        <v>0</v>
      </c>
      <c r="S141" s="35"/>
      <c r="T141" s="12"/>
    </row>
    <row r="142" spans="1:20" s="54" customFormat="1" ht="13.5" customHeight="1">
      <c r="A142" s="47"/>
      <c r="B142" s="46"/>
      <c r="C142" s="46"/>
      <c r="D142" s="26" t="str">
        <f>IF(A142="","",VLOOKUP($C142,일람표!$A$2:$K$36,11,FALSE))</f>
        <v/>
      </c>
      <c r="E142" s="26" t="str">
        <f>IF(A142="","",VLOOKUP($C142,일람표!$A$2:$J$36,6,FALSE))</f>
        <v/>
      </c>
      <c r="F142" s="26" t="str">
        <f>IF(A142="","",RIGHT(VLOOKUP($C142,일람표!$A$1:$H$36,2,FALSE),5))</f>
        <v/>
      </c>
      <c r="G142" s="27">
        <f>SUMIF(일람표!$A$2:$A$36,C142,일람표!H$2:H$36)</f>
        <v>0</v>
      </c>
      <c r="H142" s="27">
        <f>SUMIF(일람표!$A$2:$A$36,C142,일람표!J$2:J$36)</f>
        <v>0</v>
      </c>
      <c r="I142" s="27">
        <f>SUMIF(일람표!$A$2:$A$36,C142,일람표!E$2:E$36)</f>
        <v>0</v>
      </c>
      <c r="J142" s="28"/>
      <c r="K142" s="29"/>
      <c r="L142" s="30"/>
      <c r="M142" s="30"/>
      <c r="N142" s="30"/>
      <c r="O142" s="31"/>
      <c r="P142" s="32">
        <f t="shared" si="14"/>
        <v>0</v>
      </c>
      <c r="Q142" s="33" t="str">
        <f t="shared" si="13"/>
        <v/>
      </c>
      <c r="R142" s="34">
        <f t="shared" si="12"/>
        <v>0</v>
      </c>
      <c r="S142" s="35"/>
      <c r="T142" s="12"/>
    </row>
    <row r="143" spans="1:20" s="54" customFormat="1" ht="13.5" customHeight="1">
      <c r="A143" s="47"/>
      <c r="B143" s="46"/>
      <c r="C143" s="46"/>
      <c r="D143" s="26" t="str">
        <f>IF(A143="","",VLOOKUP($C143,일람표!$A$2:$K$36,11,FALSE))</f>
        <v/>
      </c>
      <c r="E143" s="26" t="str">
        <f>IF(A143="","",VLOOKUP($C143,일람표!$A$2:$J$36,6,FALSE))</f>
        <v/>
      </c>
      <c r="F143" s="26" t="str">
        <f>IF(A143="","",RIGHT(VLOOKUP($C143,일람표!$A$1:$H$36,2,FALSE),5))</f>
        <v/>
      </c>
      <c r="G143" s="27">
        <f>SUMIF(일람표!$A$2:$A$36,C143,일람표!H$2:H$36)</f>
        <v>0</v>
      </c>
      <c r="H143" s="27">
        <f>SUMIF(일람표!$A$2:$A$36,C143,일람표!J$2:J$36)</f>
        <v>0</v>
      </c>
      <c r="I143" s="27">
        <f>SUMIF(일람표!$A$2:$A$36,C143,일람표!E$2:E$36)</f>
        <v>0</v>
      </c>
      <c r="J143" s="28"/>
      <c r="K143" s="29"/>
      <c r="L143" s="30"/>
      <c r="M143" s="30"/>
      <c r="N143" s="30"/>
      <c r="O143" s="31"/>
      <c r="P143" s="32">
        <f t="shared" si="14"/>
        <v>0</v>
      </c>
      <c r="Q143" s="33" t="str">
        <f t="shared" si="13"/>
        <v/>
      </c>
      <c r="R143" s="34">
        <f t="shared" si="12"/>
        <v>0</v>
      </c>
      <c r="S143" s="35"/>
      <c r="T143" s="12"/>
    </row>
    <row r="144" spans="1:20" s="54" customFormat="1" ht="13.5" customHeight="1">
      <c r="A144" s="47"/>
      <c r="B144" s="46"/>
      <c r="C144" s="46"/>
      <c r="D144" s="26" t="str">
        <f>IF(A144="","",VLOOKUP($C144,일람표!$A$2:$K$36,11,FALSE))</f>
        <v/>
      </c>
      <c r="E144" s="26" t="str">
        <f>IF(A144="","",VLOOKUP($C144,일람표!$A$2:$J$36,6,FALSE))</f>
        <v/>
      </c>
      <c r="F144" s="26" t="str">
        <f>IF(A144="","",RIGHT(VLOOKUP($C144,일람표!$A$1:$H$36,2,FALSE),5))</f>
        <v/>
      </c>
      <c r="G144" s="27">
        <f>SUMIF(일람표!$A$2:$A$36,C144,일람표!H$2:H$36)</f>
        <v>0</v>
      </c>
      <c r="H144" s="27">
        <f>SUMIF(일람표!$A$2:$A$36,C144,일람표!J$2:J$36)</f>
        <v>0</v>
      </c>
      <c r="I144" s="27">
        <f>SUMIF(일람표!$A$2:$A$36,C144,일람표!E$2:E$36)</f>
        <v>0</v>
      </c>
      <c r="J144" s="28"/>
      <c r="K144" s="29"/>
      <c r="L144" s="30"/>
      <c r="M144" s="30"/>
      <c r="N144" s="30"/>
      <c r="O144" s="31"/>
      <c r="P144" s="32">
        <f t="shared" si="14"/>
        <v>0</v>
      </c>
      <c r="Q144" s="33" t="str">
        <f t="shared" si="13"/>
        <v/>
      </c>
      <c r="R144" s="34">
        <f t="shared" si="12"/>
        <v>0</v>
      </c>
      <c r="S144" s="35"/>
      <c r="T144" s="12"/>
    </row>
    <row r="145" spans="1:20" s="54" customFormat="1" ht="13.5" customHeight="1">
      <c r="A145" s="47"/>
      <c r="B145" s="46"/>
      <c r="C145" s="46"/>
      <c r="D145" s="26" t="str">
        <f>IF(A145="","",VLOOKUP($C145,일람표!$A$2:$K$36,11,FALSE))</f>
        <v/>
      </c>
      <c r="E145" s="26" t="str">
        <f>IF(A145="","",VLOOKUP($C145,일람표!$A$2:$J$36,6,FALSE))</f>
        <v/>
      </c>
      <c r="F145" s="26" t="str">
        <f>IF(A145="","",RIGHT(VLOOKUP($C145,일람표!$A$1:$H$36,2,FALSE),5))</f>
        <v/>
      </c>
      <c r="G145" s="27">
        <f>SUMIF(일람표!$A$2:$A$36,C145,일람표!H$2:H$36)</f>
        <v>0</v>
      </c>
      <c r="H145" s="27">
        <f>SUMIF(일람표!$A$2:$A$36,C145,일람표!J$2:J$36)</f>
        <v>0</v>
      </c>
      <c r="I145" s="27">
        <f>SUMIF(일람표!$A$2:$A$36,C145,일람표!E$2:E$36)</f>
        <v>0</v>
      </c>
      <c r="J145" s="28"/>
      <c r="K145" s="29"/>
      <c r="L145" s="30"/>
      <c r="M145" s="30"/>
      <c r="N145" s="30"/>
      <c r="O145" s="31"/>
      <c r="P145" s="32">
        <f t="shared" si="14"/>
        <v>0</v>
      </c>
      <c r="Q145" s="33" t="str">
        <f t="shared" si="13"/>
        <v/>
      </c>
      <c r="R145" s="34">
        <f t="shared" si="12"/>
        <v>0</v>
      </c>
      <c r="S145" s="35"/>
      <c r="T145" s="12"/>
    </row>
    <row r="146" spans="1:20" s="54" customFormat="1" ht="13.5" customHeight="1">
      <c r="A146" s="47"/>
      <c r="B146" s="46"/>
      <c r="C146" s="46"/>
      <c r="D146" s="26" t="str">
        <f>IF(A146="","",VLOOKUP($C146,일람표!$A$2:$K$36,11,FALSE))</f>
        <v/>
      </c>
      <c r="E146" s="26" t="str">
        <f>IF(A146="","",VLOOKUP($C146,일람표!$A$2:$J$36,6,FALSE))</f>
        <v/>
      </c>
      <c r="F146" s="26" t="str">
        <f>IF(A146="","",RIGHT(VLOOKUP($C146,일람표!$A$1:$H$36,2,FALSE),5))</f>
        <v/>
      </c>
      <c r="G146" s="27">
        <f>SUMIF(일람표!$A$2:$A$36,C146,일람표!H$2:H$36)</f>
        <v>0</v>
      </c>
      <c r="H146" s="27">
        <f>SUMIF(일람표!$A$2:$A$36,C146,일람표!J$2:J$36)</f>
        <v>0</v>
      </c>
      <c r="I146" s="27">
        <f>SUMIF(일람표!$A$2:$A$36,C146,일람표!E$2:E$36)</f>
        <v>0</v>
      </c>
      <c r="J146" s="28"/>
      <c r="K146" s="29"/>
      <c r="L146" s="30"/>
      <c r="M146" s="30"/>
      <c r="N146" s="30"/>
      <c r="O146" s="31"/>
      <c r="P146" s="32">
        <f t="shared" si="14"/>
        <v>0</v>
      </c>
      <c r="Q146" s="33" t="str">
        <f t="shared" si="13"/>
        <v/>
      </c>
      <c r="R146" s="34">
        <f t="shared" si="12"/>
        <v>0</v>
      </c>
      <c r="S146" s="35"/>
      <c r="T146" s="12"/>
    </row>
    <row r="147" spans="1:20" s="54" customFormat="1" ht="13.5" customHeight="1">
      <c r="A147" s="47"/>
      <c r="B147" s="46"/>
      <c r="C147" s="46"/>
      <c r="D147" s="26" t="str">
        <f>IF(A147="","",VLOOKUP($C147,일람표!$A$2:$K$36,11,FALSE))</f>
        <v/>
      </c>
      <c r="E147" s="26" t="str">
        <f>IF(A147="","",VLOOKUP($C147,일람표!$A$2:$J$36,6,FALSE))</f>
        <v/>
      </c>
      <c r="F147" s="26" t="str">
        <f>IF(A147="","",RIGHT(VLOOKUP($C147,일람표!$A$1:$H$36,2,FALSE),5))</f>
        <v/>
      </c>
      <c r="G147" s="27">
        <f>SUMIF(일람표!$A$2:$A$36,C147,일람표!H$2:H$36)</f>
        <v>0</v>
      </c>
      <c r="H147" s="27">
        <f>SUMIF(일람표!$A$2:$A$36,C147,일람표!J$2:J$36)</f>
        <v>0</v>
      </c>
      <c r="I147" s="27">
        <f>SUMIF(일람표!$A$2:$A$36,C147,일람표!E$2:E$36)</f>
        <v>0</v>
      </c>
      <c r="J147" s="28"/>
      <c r="K147" s="29"/>
      <c r="L147" s="30"/>
      <c r="M147" s="30"/>
      <c r="N147" s="30"/>
      <c r="O147" s="31"/>
      <c r="P147" s="32">
        <f t="shared" si="14"/>
        <v>0</v>
      </c>
      <c r="Q147" s="33" t="str">
        <f t="shared" si="13"/>
        <v/>
      </c>
      <c r="R147" s="34">
        <f t="shared" si="12"/>
        <v>0</v>
      </c>
      <c r="S147" s="35"/>
      <c r="T147" s="12"/>
    </row>
    <row r="148" spans="1:20" s="54" customFormat="1" ht="13.5" customHeight="1">
      <c r="A148" s="47"/>
      <c r="B148" s="46"/>
      <c r="C148" s="46"/>
      <c r="D148" s="26" t="str">
        <f>IF(A148="","",VLOOKUP($C148,일람표!$A$2:$K$36,11,FALSE))</f>
        <v/>
      </c>
      <c r="E148" s="26" t="str">
        <f>IF(A148="","",VLOOKUP($C148,일람표!$A$2:$J$36,6,FALSE))</f>
        <v/>
      </c>
      <c r="F148" s="26" t="str">
        <f>IF(A148="","",RIGHT(VLOOKUP($C148,일람표!$A$1:$H$36,2,FALSE),5))</f>
        <v/>
      </c>
      <c r="G148" s="27">
        <f>SUMIF(일람표!$A$2:$A$36,C148,일람표!H$2:H$36)</f>
        <v>0</v>
      </c>
      <c r="H148" s="27">
        <f>SUMIF(일람표!$A$2:$A$36,C148,일람표!J$2:J$36)</f>
        <v>0</v>
      </c>
      <c r="I148" s="27">
        <f>SUMIF(일람표!$A$2:$A$36,C148,일람표!E$2:E$36)</f>
        <v>0</v>
      </c>
      <c r="J148" s="28"/>
      <c r="K148" s="29"/>
      <c r="L148" s="30"/>
      <c r="M148" s="30"/>
      <c r="N148" s="30"/>
      <c r="O148" s="31"/>
      <c r="P148" s="32">
        <f t="shared" si="14"/>
        <v>0</v>
      </c>
      <c r="Q148" s="33" t="str">
        <f t="shared" si="13"/>
        <v/>
      </c>
      <c r="R148" s="34">
        <f t="shared" si="12"/>
        <v>0</v>
      </c>
      <c r="S148" s="35"/>
      <c r="T148" s="12"/>
    </row>
    <row r="149" spans="1:20" s="54" customFormat="1" ht="13.5" customHeight="1">
      <c r="A149" s="47"/>
      <c r="B149" s="46"/>
      <c r="C149" s="46"/>
      <c r="D149" s="26" t="str">
        <f>IF(A149="","",VLOOKUP($C149,일람표!$A$2:$K$36,11,FALSE))</f>
        <v/>
      </c>
      <c r="E149" s="26" t="str">
        <f>IF(A149="","",VLOOKUP($C149,일람표!$A$2:$J$36,6,FALSE))</f>
        <v/>
      </c>
      <c r="F149" s="26" t="str">
        <f>IF(A149="","",RIGHT(VLOOKUP($C149,일람표!$A$1:$H$36,2,FALSE),5))</f>
        <v/>
      </c>
      <c r="G149" s="27">
        <f>SUMIF(일람표!$A$2:$A$36,C149,일람표!H$2:H$36)</f>
        <v>0</v>
      </c>
      <c r="H149" s="27">
        <f>SUMIF(일람표!$A$2:$A$36,C149,일람표!J$2:J$36)</f>
        <v>0</v>
      </c>
      <c r="I149" s="27">
        <f>SUMIF(일람표!$A$2:$A$36,C149,일람표!E$2:E$36)</f>
        <v>0</v>
      </c>
      <c r="J149" s="28"/>
      <c r="K149" s="29"/>
      <c r="L149" s="30"/>
      <c r="M149" s="30"/>
      <c r="N149" s="30"/>
      <c r="O149" s="31"/>
      <c r="P149" s="32">
        <f t="shared" si="14"/>
        <v>0</v>
      </c>
      <c r="Q149" s="33" t="str">
        <f t="shared" si="13"/>
        <v/>
      </c>
      <c r="R149" s="34">
        <f t="shared" si="12"/>
        <v>0</v>
      </c>
      <c r="S149" s="35"/>
      <c r="T149" s="12"/>
    </row>
    <row r="150" spans="1:20" s="54" customFormat="1" ht="13.5" customHeight="1">
      <c r="A150" s="47"/>
      <c r="B150" s="46"/>
      <c r="C150" s="46"/>
      <c r="D150" s="26" t="str">
        <f>IF(A150="","",VLOOKUP($C150,일람표!$A$2:$K$36,11,FALSE))</f>
        <v/>
      </c>
      <c r="E150" s="26" t="str">
        <f>IF(A150="","",VLOOKUP($C150,일람표!$A$2:$J$36,6,FALSE))</f>
        <v/>
      </c>
      <c r="F150" s="26" t="str">
        <f>IF(A150="","",RIGHT(VLOOKUP($C150,일람표!$A$1:$H$36,2,FALSE),5))</f>
        <v/>
      </c>
      <c r="G150" s="27">
        <f>SUMIF(일람표!$A$2:$A$36,C150,일람표!H$2:H$36)</f>
        <v>0</v>
      </c>
      <c r="H150" s="27">
        <f>SUMIF(일람표!$A$2:$A$36,C150,일람표!J$2:J$36)</f>
        <v>0</v>
      </c>
      <c r="I150" s="27">
        <f>SUMIF(일람표!$A$2:$A$36,C150,일람표!E$2:E$36)</f>
        <v>0</v>
      </c>
      <c r="J150" s="28"/>
      <c r="K150" s="29"/>
      <c r="L150" s="30"/>
      <c r="M150" s="30"/>
      <c r="N150" s="30"/>
      <c r="O150" s="31"/>
      <c r="P150" s="32">
        <f t="shared" si="14"/>
        <v>0</v>
      </c>
      <c r="Q150" s="33" t="str">
        <f t="shared" si="13"/>
        <v/>
      </c>
      <c r="R150" s="34">
        <f t="shared" si="12"/>
        <v>0</v>
      </c>
      <c r="S150" s="35"/>
      <c r="T150" s="12"/>
    </row>
    <row r="151" spans="1:20" s="54" customFormat="1" ht="13.5" customHeight="1">
      <c r="A151" s="47"/>
      <c r="B151" s="46"/>
      <c r="C151" s="46"/>
      <c r="D151" s="26" t="str">
        <f>IF(A151="","",VLOOKUP($C151,일람표!$A$2:$K$36,11,FALSE))</f>
        <v/>
      </c>
      <c r="E151" s="26" t="str">
        <f>IF(A151="","",VLOOKUP($C151,일람표!$A$2:$J$36,6,FALSE))</f>
        <v/>
      </c>
      <c r="F151" s="26" t="str">
        <f>IF(A151="","",RIGHT(VLOOKUP($C151,일람표!$A$1:$H$36,2,FALSE),5))</f>
        <v/>
      </c>
      <c r="G151" s="27">
        <f>SUMIF(일람표!$A$2:$A$36,C151,일람표!H$2:H$36)</f>
        <v>0</v>
      </c>
      <c r="H151" s="27">
        <f>SUMIF(일람표!$A$2:$A$36,C151,일람표!J$2:J$36)</f>
        <v>0</v>
      </c>
      <c r="I151" s="27">
        <f>SUMIF(일람표!$A$2:$A$36,C151,일람표!E$2:E$36)</f>
        <v>0</v>
      </c>
      <c r="J151" s="28"/>
      <c r="K151" s="29"/>
      <c r="L151" s="30"/>
      <c r="M151" s="30"/>
      <c r="N151" s="30"/>
      <c r="O151" s="31"/>
      <c r="P151" s="32">
        <f t="shared" si="14"/>
        <v>0</v>
      </c>
      <c r="Q151" s="33" t="str">
        <f t="shared" si="13"/>
        <v/>
      </c>
      <c r="R151" s="34">
        <f t="shared" si="12"/>
        <v>0</v>
      </c>
      <c r="S151" s="35"/>
      <c r="T151" s="12"/>
    </row>
    <row r="152" spans="1:20" s="54" customFormat="1" ht="13.5" customHeight="1">
      <c r="A152" s="47"/>
      <c r="B152" s="46"/>
      <c r="C152" s="46"/>
      <c r="D152" s="26" t="str">
        <f>IF(A152="","",VLOOKUP($C152,일람표!$A$2:$K$36,11,FALSE))</f>
        <v/>
      </c>
      <c r="E152" s="26" t="str">
        <f>IF(A152="","",VLOOKUP($C152,일람표!$A$2:$J$36,6,FALSE))</f>
        <v/>
      </c>
      <c r="F152" s="26" t="str">
        <f>IF(A152="","",RIGHT(VLOOKUP($C152,일람표!$A$1:$H$36,2,FALSE),5))</f>
        <v/>
      </c>
      <c r="G152" s="27">
        <f>SUMIF(일람표!$A$2:$A$36,C152,일람표!H$2:H$36)</f>
        <v>0</v>
      </c>
      <c r="H152" s="27">
        <f>SUMIF(일람표!$A$2:$A$36,C152,일람표!J$2:J$36)</f>
        <v>0</v>
      </c>
      <c r="I152" s="27">
        <f>SUMIF(일람표!$A$2:$A$36,C152,일람표!E$2:E$36)</f>
        <v>0</v>
      </c>
      <c r="J152" s="28"/>
      <c r="K152" s="29"/>
      <c r="L152" s="30"/>
      <c r="M152" s="30"/>
      <c r="N152" s="30"/>
      <c r="O152" s="31"/>
      <c r="P152" s="32">
        <f t="shared" si="14"/>
        <v>0</v>
      </c>
      <c r="Q152" s="33" t="str">
        <f t="shared" si="13"/>
        <v/>
      </c>
      <c r="R152" s="34">
        <f t="shared" si="12"/>
        <v>0</v>
      </c>
      <c r="S152" s="35"/>
      <c r="T152" s="12"/>
    </row>
    <row r="153" spans="1:20" s="54" customFormat="1" ht="13.5" customHeight="1">
      <c r="A153" s="47"/>
      <c r="B153" s="46"/>
      <c r="C153" s="46"/>
      <c r="D153" s="26" t="str">
        <f>IF(A153="","",VLOOKUP($C153,일람표!$A$2:$K$36,11,FALSE))</f>
        <v/>
      </c>
      <c r="E153" s="26" t="str">
        <f>IF(A153="","",VLOOKUP($C153,일람표!$A$2:$J$36,6,FALSE))</f>
        <v/>
      </c>
      <c r="F153" s="26" t="str">
        <f>IF(A153="","",RIGHT(VLOOKUP($C153,일람표!$A$1:$H$36,2,FALSE),5))</f>
        <v/>
      </c>
      <c r="G153" s="27">
        <f>SUMIF(일람표!$A$2:$A$36,C153,일람표!H$2:H$36)</f>
        <v>0</v>
      </c>
      <c r="H153" s="27">
        <f>SUMIF(일람표!$A$2:$A$36,C153,일람표!J$2:J$36)</f>
        <v>0</v>
      </c>
      <c r="I153" s="27">
        <f>SUMIF(일람표!$A$2:$A$36,C153,일람표!E$2:E$36)</f>
        <v>0</v>
      </c>
      <c r="J153" s="28"/>
      <c r="K153" s="29"/>
      <c r="L153" s="30"/>
      <c r="M153" s="30"/>
      <c r="N153" s="30"/>
      <c r="O153" s="31"/>
      <c r="P153" s="32">
        <f t="shared" si="14"/>
        <v>0</v>
      </c>
      <c r="Q153" s="33" t="str">
        <f t="shared" si="13"/>
        <v/>
      </c>
      <c r="R153" s="34">
        <f t="shared" si="12"/>
        <v>0</v>
      </c>
      <c r="S153" s="35"/>
      <c r="T153" s="12"/>
    </row>
    <row r="154" spans="1:20" s="54" customFormat="1" ht="13.5" customHeight="1">
      <c r="A154" s="47"/>
      <c r="B154" s="46"/>
      <c r="C154" s="46"/>
      <c r="D154" s="26" t="str">
        <f>IF(A154="","",VLOOKUP($C154,일람표!$A$2:$K$36,11,FALSE))</f>
        <v/>
      </c>
      <c r="E154" s="26" t="str">
        <f>IF(A154="","",VLOOKUP($C154,일람표!$A$2:$J$36,6,FALSE))</f>
        <v/>
      </c>
      <c r="F154" s="26" t="str">
        <f>IF(A154="","",RIGHT(VLOOKUP($C154,일람표!$A$1:$H$36,2,FALSE),5))</f>
        <v/>
      </c>
      <c r="G154" s="27">
        <f>SUMIF(일람표!$A$2:$A$36,C154,일람표!H$2:H$36)</f>
        <v>0</v>
      </c>
      <c r="H154" s="27">
        <f>SUMIF(일람표!$A$2:$A$36,C154,일람표!J$2:J$36)</f>
        <v>0</v>
      </c>
      <c r="I154" s="27">
        <f>SUMIF(일람표!$A$2:$A$36,C154,일람표!E$2:E$36)</f>
        <v>0</v>
      </c>
      <c r="J154" s="28"/>
      <c r="K154" s="29"/>
      <c r="L154" s="30"/>
      <c r="M154" s="30"/>
      <c r="N154" s="30"/>
      <c r="O154" s="31"/>
      <c r="P154" s="32">
        <f t="shared" si="14"/>
        <v>0</v>
      </c>
      <c r="Q154" s="33" t="str">
        <f t="shared" si="13"/>
        <v/>
      </c>
      <c r="R154" s="34">
        <f t="shared" si="12"/>
        <v>0</v>
      </c>
      <c r="S154" s="35"/>
      <c r="T154" s="12"/>
    </row>
    <row r="155" spans="1:20" s="54" customFormat="1" ht="13.5" customHeight="1">
      <c r="A155" s="47"/>
      <c r="B155" s="46"/>
      <c r="C155" s="46"/>
      <c r="D155" s="26" t="str">
        <f>IF(A155="","",VLOOKUP($C155,일람표!$A$2:$K$36,11,FALSE))</f>
        <v/>
      </c>
      <c r="E155" s="26" t="str">
        <f>IF(A155="","",VLOOKUP($C155,일람표!$A$2:$J$36,6,FALSE))</f>
        <v/>
      </c>
      <c r="F155" s="26" t="str">
        <f>IF(A155="","",RIGHT(VLOOKUP($C155,일람표!$A$1:$H$36,2,FALSE),5))</f>
        <v/>
      </c>
      <c r="G155" s="27">
        <f>SUMIF(일람표!$A$2:$A$36,C155,일람표!H$2:H$36)</f>
        <v>0</v>
      </c>
      <c r="H155" s="27">
        <f>SUMIF(일람표!$A$2:$A$36,C155,일람표!J$2:J$36)</f>
        <v>0</v>
      </c>
      <c r="I155" s="27">
        <f>SUMIF(일람표!$A$2:$A$36,C155,일람표!E$2:E$36)</f>
        <v>0</v>
      </c>
      <c r="J155" s="28"/>
      <c r="K155" s="29"/>
      <c r="L155" s="30"/>
      <c r="M155" s="30"/>
      <c r="N155" s="30"/>
      <c r="O155" s="31"/>
      <c r="P155" s="32">
        <f t="shared" si="14"/>
        <v>0</v>
      </c>
      <c r="Q155" s="33" t="str">
        <f t="shared" si="13"/>
        <v/>
      </c>
      <c r="R155" s="34">
        <f t="shared" si="12"/>
        <v>0</v>
      </c>
      <c r="S155" s="35"/>
      <c r="T155" s="12"/>
    </row>
    <row r="156" spans="1:20" s="54" customFormat="1" ht="13.5" customHeight="1">
      <c r="A156" s="47"/>
      <c r="B156" s="46"/>
      <c r="C156" s="46"/>
      <c r="D156" s="26" t="str">
        <f>IF(A156="","",VLOOKUP($C156,일람표!$A$2:$K$36,11,FALSE))</f>
        <v/>
      </c>
      <c r="E156" s="26" t="str">
        <f>IF(A156="","",VLOOKUP($C156,일람표!$A$2:$J$36,6,FALSE))</f>
        <v/>
      </c>
      <c r="F156" s="26" t="str">
        <f>IF(A156="","",RIGHT(VLOOKUP($C156,일람표!$A$1:$H$36,2,FALSE),5))</f>
        <v/>
      </c>
      <c r="G156" s="27">
        <f>SUMIF(일람표!$A$2:$A$36,C156,일람표!H$2:H$36)</f>
        <v>0</v>
      </c>
      <c r="H156" s="27">
        <f>SUMIF(일람표!$A$2:$A$36,C156,일람표!J$2:J$36)</f>
        <v>0</v>
      </c>
      <c r="I156" s="27">
        <f>SUMIF(일람표!$A$2:$A$36,C156,일람표!E$2:E$36)</f>
        <v>0</v>
      </c>
      <c r="J156" s="28"/>
      <c r="K156" s="29"/>
      <c r="L156" s="30"/>
      <c r="M156" s="30"/>
      <c r="N156" s="30"/>
      <c r="O156" s="31"/>
      <c r="P156" s="32">
        <f t="shared" si="14"/>
        <v>0</v>
      </c>
      <c r="Q156" s="33" t="str">
        <f t="shared" si="13"/>
        <v/>
      </c>
      <c r="R156" s="34">
        <f t="shared" si="12"/>
        <v>0</v>
      </c>
      <c r="S156" s="35"/>
      <c r="T156" s="12"/>
    </row>
    <row r="157" spans="1:20" s="54" customFormat="1" ht="13.5" customHeight="1">
      <c r="A157" s="47"/>
      <c r="B157" s="46"/>
      <c r="C157" s="46"/>
      <c r="D157" s="26" t="str">
        <f>IF(A157="","",VLOOKUP($C157,일람표!$A$2:$K$36,11,FALSE))</f>
        <v/>
      </c>
      <c r="E157" s="26" t="str">
        <f>IF(A157="","",VLOOKUP($C157,일람표!$A$2:$J$36,6,FALSE))</f>
        <v/>
      </c>
      <c r="F157" s="26" t="str">
        <f>IF(A157="","",RIGHT(VLOOKUP($C157,일람표!$A$1:$H$36,2,FALSE),5))</f>
        <v/>
      </c>
      <c r="G157" s="27">
        <f>SUMIF(일람표!$A$2:$A$36,C157,일람표!H$2:H$36)</f>
        <v>0</v>
      </c>
      <c r="H157" s="27">
        <f>SUMIF(일람표!$A$2:$A$36,C157,일람표!J$2:J$36)</f>
        <v>0</v>
      </c>
      <c r="I157" s="27">
        <f>SUMIF(일람표!$A$2:$A$36,C157,일람표!E$2:E$36)</f>
        <v>0</v>
      </c>
      <c r="J157" s="28"/>
      <c r="K157" s="29"/>
      <c r="L157" s="30"/>
      <c r="M157" s="30"/>
      <c r="N157" s="30"/>
      <c r="O157" s="31"/>
      <c r="P157" s="32">
        <f t="shared" si="14"/>
        <v>0</v>
      </c>
      <c r="Q157" s="33" t="str">
        <f t="shared" si="13"/>
        <v/>
      </c>
      <c r="R157" s="34">
        <f t="shared" si="12"/>
        <v>0</v>
      </c>
      <c r="S157" s="35"/>
      <c r="T157" s="12"/>
    </row>
    <row r="158" spans="1:20" s="54" customFormat="1" ht="13.5" customHeight="1">
      <c r="A158" s="47"/>
      <c r="B158" s="46"/>
      <c r="C158" s="46"/>
      <c r="D158" s="26" t="str">
        <f>IF(A158="","",VLOOKUP($C158,일람표!$A$2:$K$36,11,FALSE))</f>
        <v/>
      </c>
      <c r="E158" s="26" t="str">
        <f>IF(A158="","",VLOOKUP($C158,일람표!$A$2:$J$36,6,FALSE))</f>
        <v/>
      </c>
      <c r="F158" s="26" t="str">
        <f>IF(A158="","",RIGHT(VLOOKUP($C158,일람표!$A$1:$H$36,2,FALSE),5))</f>
        <v/>
      </c>
      <c r="G158" s="27">
        <f>SUMIF(일람표!$A$2:$A$36,C158,일람표!H$2:H$36)</f>
        <v>0</v>
      </c>
      <c r="H158" s="27">
        <f>SUMIF(일람표!$A$2:$A$36,C158,일람표!J$2:J$36)</f>
        <v>0</v>
      </c>
      <c r="I158" s="27">
        <f>SUMIF(일람표!$A$2:$A$36,C158,일람표!E$2:E$36)</f>
        <v>0</v>
      </c>
      <c r="J158" s="28"/>
      <c r="K158" s="29"/>
      <c r="L158" s="30"/>
      <c r="M158" s="30"/>
      <c r="N158" s="30"/>
      <c r="O158" s="31"/>
      <c r="P158" s="32">
        <f t="shared" si="14"/>
        <v>0</v>
      </c>
      <c r="Q158" s="33" t="str">
        <f t="shared" si="13"/>
        <v/>
      </c>
      <c r="R158" s="34">
        <f t="shared" si="12"/>
        <v>0</v>
      </c>
      <c r="S158" s="35"/>
      <c r="T158" s="12"/>
    </row>
    <row r="159" spans="1:20" s="54" customFormat="1" ht="13.5" customHeight="1">
      <c r="A159" s="47"/>
      <c r="B159" s="46"/>
      <c r="C159" s="46"/>
      <c r="D159" s="26" t="str">
        <f>IF(A159="","",VLOOKUP($C159,일람표!$A$2:$K$36,11,FALSE))</f>
        <v/>
      </c>
      <c r="E159" s="26" t="str">
        <f>IF(A159="","",VLOOKUP($C159,일람표!$A$2:$J$36,6,FALSE))</f>
        <v/>
      </c>
      <c r="F159" s="26" t="str">
        <f>IF(A159="","",RIGHT(VLOOKUP($C159,일람표!$A$1:$H$36,2,FALSE),5))</f>
        <v/>
      </c>
      <c r="G159" s="27">
        <f>SUMIF(일람표!$A$2:$A$36,C159,일람표!H$2:H$36)</f>
        <v>0</v>
      </c>
      <c r="H159" s="27">
        <f>SUMIF(일람표!$A$2:$A$36,C159,일람표!J$2:J$36)</f>
        <v>0</v>
      </c>
      <c r="I159" s="27">
        <f>SUMIF(일람표!$A$2:$A$36,C159,일람표!E$2:E$36)</f>
        <v>0</v>
      </c>
      <c r="J159" s="28"/>
      <c r="K159" s="29"/>
      <c r="L159" s="30"/>
      <c r="M159" s="30"/>
      <c r="N159" s="30"/>
      <c r="O159" s="31"/>
      <c r="P159" s="32">
        <f t="shared" si="14"/>
        <v>0</v>
      </c>
      <c r="Q159" s="33" t="str">
        <f t="shared" si="13"/>
        <v/>
      </c>
      <c r="R159" s="34">
        <f t="shared" si="12"/>
        <v>0</v>
      </c>
      <c r="S159" s="35"/>
      <c r="T159" s="12"/>
    </row>
    <row r="160" spans="1:20" s="54" customFormat="1" ht="13.5" customHeight="1">
      <c r="A160" s="47"/>
      <c r="B160" s="46"/>
      <c r="C160" s="46"/>
      <c r="D160" s="26" t="str">
        <f>IF(A160="","",VLOOKUP($C160,일람표!$A$2:$K$36,11,FALSE))</f>
        <v/>
      </c>
      <c r="E160" s="26" t="str">
        <f>IF(A160="","",VLOOKUP($C160,일람표!$A$2:$J$36,6,FALSE))</f>
        <v/>
      </c>
      <c r="F160" s="26" t="str">
        <f>IF(A160="","",RIGHT(VLOOKUP($C160,일람표!$A$1:$H$36,2,FALSE),5))</f>
        <v/>
      </c>
      <c r="G160" s="27">
        <f>SUMIF(일람표!$A$2:$A$36,C160,일람표!H$2:H$36)</f>
        <v>0</v>
      </c>
      <c r="H160" s="27">
        <f>SUMIF(일람표!$A$2:$A$36,C160,일람표!J$2:J$36)</f>
        <v>0</v>
      </c>
      <c r="I160" s="27">
        <f>SUMIF(일람표!$A$2:$A$36,C160,일람표!E$2:E$36)</f>
        <v>0</v>
      </c>
      <c r="J160" s="28"/>
      <c r="K160" s="29"/>
      <c r="L160" s="30"/>
      <c r="M160" s="30"/>
      <c r="N160" s="30"/>
      <c r="O160" s="31"/>
      <c r="P160" s="32">
        <f t="shared" si="14"/>
        <v>0</v>
      </c>
      <c r="Q160" s="33" t="str">
        <f t="shared" si="13"/>
        <v/>
      </c>
      <c r="R160" s="34">
        <f t="shared" si="12"/>
        <v>0</v>
      </c>
      <c r="S160" s="35"/>
      <c r="T160" s="12"/>
    </row>
    <row r="161" spans="1:20" s="54" customFormat="1" ht="13.5" customHeight="1">
      <c r="A161" s="47"/>
      <c r="B161" s="46"/>
      <c r="C161" s="46"/>
      <c r="D161" s="26" t="str">
        <f>IF(A161="","",VLOOKUP($C161,일람표!$A$2:$K$36,11,FALSE))</f>
        <v/>
      </c>
      <c r="E161" s="26" t="str">
        <f>IF(A161="","",VLOOKUP($C161,일람표!$A$2:$J$36,6,FALSE))</f>
        <v/>
      </c>
      <c r="F161" s="26" t="str">
        <f>IF(A161="","",RIGHT(VLOOKUP($C161,일람표!$A$1:$H$36,2,FALSE),5))</f>
        <v/>
      </c>
      <c r="G161" s="27">
        <f>SUMIF(일람표!$A$2:$A$36,C161,일람표!H$2:H$36)</f>
        <v>0</v>
      </c>
      <c r="H161" s="27">
        <f>SUMIF(일람표!$A$2:$A$36,C161,일람표!J$2:J$36)</f>
        <v>0</v>
      </c>
      <c r="I161" s="27">
        <f>SUMIF(일람표!$A$2:$A$36,C161,일람표!E$2:E$36)</f>
        <v>0</v>
      </c>
      <c r="J161" s="28"/>
      <c r="K161" s="29"/>
      <c r="L161" s="30"/>
      <c r="M161" s="30"/>
      <c r="N161" s="30"/>
      <c r="O161" s="31"/>
      <c r="P161" s="32">
        <f t="shared" si="14"/>
        <v>0</v>
      </c>
      <c r="Q161" s="33" t="str">
        <f t="shared" si="13"/>
        <v/>
      </c>
      <c r="R161" s="34">
        <f t="shared" si="12"/>
        <v>0</v>
      </c>
      <c r="S161" s="35"/>
      <c r="T161" s="12"/>
    </row>
    <row r="162" spans="1:20" s="54" customFormat="1" ht="13.5" customHeight="1">
      <c r="A162" s="47"/>
      <c r="B162" s="46"/>
      <c r="C162" s="46"/>
      <c r="D162" s="26" t="str">
        <f>IF(A162="","",VLOOKUP($C162,일람표!$A$2:$K$36,11,FALSE))</f>
        <v/>
      </c>
      <c r="E162" s="26" t="str">
        <f>IF(A162="","",VLOOKUP($C162,일람표!$A$2:$J$36,6,FALSE))</f>
        <v/>
      </c>
      <c r="F162" s="26" t="str">
        <f>IF(A162="","",RIGHT(VLOOKUP($C162,일람표!$A$1:$H$36,2,FALSE),5))</f>
        <v/>
      </c>
      <c r="G162" s="27">
        <f>SUMIF(일람표!$A$2:$A$36,C162,일람표!H$2:H$36)</f>
        <v>0</v>
      </c>
      <c r="H162" s="27">
        <f>SUMIF(일람표!$A$2:$A$36,C162,일람표!J$2:J$36)</f>
        <v>0</v>
      </c>
      <c r="I162" s="27">
        <f>SUMIF(일람표!$A$2:$A$36,C162,일람표!E$2:E$36)</f>
        <v>0</v>
      </c>
      <c r="J162" s="28"/>
      <c r="K162" s="29"/>
      <c r="L162" s="30"/>
      <c r="M162" s="30"/>
      <c r="N162" s="30"/>
      <c r="O162" s="31"/>
      <c r="P162" s="32">
        <f t="shared" si="14"/>
        <v>0</v>
      </c>
      <c r="Q162" s="33" t="str">
        <f t="shared" si="13"/>
        <v/>
      </c>
      <c r="R162" s="34">
        <f t="shared" si="12"/>
        <v>0</v>
      </c>
      <c r="S162" s="35"/>
      <c r="T162" s="12"/>
    </row>
    <row r="163" spans="1:20" s="54" customFormat="1" ht="13.5" customHeight="1">
      <c r="A163" s="47"/>
      <c r="B163" s="46"/>
      <c r="C163" s="46"/>
      <c r="D163" s="26" t="str">
        <f>IF(A163="","",VLOOKUP($C163,일람표!$A$2:$K$36,11,FALSE))</f>
        <v/>
      </c>
      <c r="E163" s="26" t="str">
        <f>IF(A163="","",VLOOKUP($C163,일람표!$A$2:$J$36,6,FALSE))</f>
        <v/>
      </c>
      <c r="F163" s="26" t="str">
        <f>IF(A163="","",RIGHT(VLOOKUP($C163,일람표!$A$1:$H$36,2,FALSE),5))</f>
        <v/>
      </c>
      <c r="G163" s="27">
        <f>SUMIF(일람표!$A$2:$A$36,C163,일람표!H$2:H$36)</f>
        <v>0</v>
      </c>
      <c r="H163" s="27">
        <f>SUMIF(일람표!$A$2:$A$36,C163,일람표!J$2:J$36)</f>
        <v>0</v>
      </c>
      <c r="I163" s="27">
        <f>SUMIF(일람표!$A$2:$A$36,C163,일람표!E$2:E$36)</f>
        <v>0</v>
      </c>
      <c r="J163" s="28"/>
      <c r="K163" s="29"/>
      <c r="L163" s="30"/>
      <c r="M163" s="30"/>
      <c r="N163" s="30"/>
      <c r="O163" s="31"/>
      <c r="P163" s="32">
        <f t="shared" si="14"/>
        <v>0</v>
      </c>
      <c r="Q163" s="33" t="str">
        <f t="shared" si="13"/>
        <v/>
      </c>
      <c r="R163" s="34">
        <f t="shared" si="12"/>
        <v>0</v>
      </c>
      <c r="S163" s="35"/>
      <c r="T163" s="12"/>
    </row>
    <row r="164" spans="1:20" s="54" customFormat="1" ht="13.5" customHeight="1">
      <c r="A164" s="47"/>
      <c r="B164" s="46"/>
      <c r="C164" s="46"/>
      <c r="D164" s="26" t="str">
        <f>IF(A164="","",VLOOKUP($C164,일람표!$A$2:$K$36,11,FALSE))</f>
        <v/>
      </c>
      <c r="E164" s="26" t="str">
        <f>IF(A164="","",VLOOKUP($C164,일람표!$A$2:$J$36,6,FALSE))</f>
        <v/>
      </c>
      <c r="F164" s="26" t="str">
        <f>IF(A164="","",RIGHT(VLOOKUP($C164,일람표!$A$1:$H$36,2,FALSE),5))</f>
        <v/>
      </c>
      <c r="G164" s="27">
        <f>SUMIF(일람표!$A$2:$A$36,C164,일람표!H$2:H$36)</f>
        <v>0</v>
      </c>
      <c r="H164" s="27">
        <f>SUMIF(일람표!$A$2:$A$36,C164,일람표!J$2:J$36)</f>
        <v>0</v>
      </c>
      <c r="I164" s="27">
        <f>SUMIF(일람표!$A$2:$A$36,C164,일람표!E$2:E$36)</f>
        <v>0</v>
      </c>
      <c r="J164" s="28"/>
      <c r="K164" s="29"/>
      <c r="L164" s="30"/>
      <c r="M164" s="30"/>
      <c r="N164" s="30"/>
      <c r="O164" s="31"/>
      <c r="P164" s="32">
        <f t="shared" si="14"/>
        <v>0</v>
      </c>
      <c r="Q164" s="33" t="str">
        <f t="shared" si="13"/>
        <v/>
      </c>
      <c r="R164" s="34">
        <f t="shared" si="12"/>
        <v>0</v>
      </c>
      <c r="S164" s="35"/>
      <c r="T164" s="12"/>
    </row>
    <row r="165" spans="1:20" s="54" customFormat="1" ht="13.5" customHeight="1">
      <c r="A165" s="47"/>
      <c r="B165" s="46"/>
      <c r="C165" s="46"/>
      <c r="D165" s="26" t="str">
        <f>IF(A165="","",VLOOKUP($C165,일람표!$A$2:$K$36,11,FALSE))</f>
        <v/>
      </c>
      <c r="E165" s="26" t="str">
        <f>IF(A165="","",VLOOKUP($C165,일람표!$A$2:$J$36,6,FALSE))</f>
        <v/>
      </c>
      <c r="F165" s="26" t="str">
        <f>IF(A165="","",RIGHT(VLOOKUP($C165,일람표!$A$1:$H$36,2,FALSE),5))</f>
        <v/>
      </c>
      <c r="G165" s="27">
        <f>SUMIF(일람표!$A$2:$A$36,C165,일람표!H$2:H$36)</f>
        <v>0</v>
      </c>
      <c r="H165" s="27">
        <f>SUMIF(일람표!$A$2:$A$36,C165,일람표!J$2:J$36)</f>
        <v>0</v>
      </c>
      <c r="I165" s="27">
        <f>SUMIF(일람표!$A$2:$A$36,C165,일람표!E$2:E$36)</f>
        <v>0</v>
      </c>
      <c r="J165" s="28"/>
      <c r="K165" s="29"/>
      <c r="L165" s="30"/>
      <c r="M165" s="30"/>
      <c r="N165" s="30"/>
      <c r="O165" s="31"/>
      <c r="P165" s="32">
        <f t="shared" si="14"/>
        <v>0</v>
      </c>
      <c r="Q165" s="33" t="str">
        <f t="shared" si="13"/>
        <v/>
      </c>
      <c r="R165" s="34">
        <f t="shared" ref="R165:R202" si="15">+J165*0.6*(O165+L165+M165+N165)/1000</f>
        <v>0</v>
      </c>
      <c r="S165" s="35"/>
      <c r="T165" s="12"/>
    </row>
    <row r="166" spans="1:20" s="54" customFormat="1" ht="13.5" customHeight="1">
      <c r="A166" s="47"/>
      <c r="B166" s="46"/>
      <c r="C166" s="46"/>
      <c r="D166" s="26" t="str">
        <f>IF(A166="","",VLOOKUP($C166,일람표!$A$2:$K$36,11,FALSE))</f>
        <v/>
      </c>
      <c r="E166" s="26" t="str">
        <f>IF(A166="","",VLOOKUP($C166,일람표!$A$2:$J$36,6,FALSE))</f>
        <v/>
      </c>
      <c r="F166" s="26" t="str">
        <f>IF(A166="","",RIGHT(VLOOKUP($C166,일람표!$A$1:$H$36,2,FALSE),5))</f>
        <v/>
      </c>
      <c r="G166" s="27">
        <f>SUMIF(일람표!$A$2:$A$36,C166,일람표!H$2:H$36)</f>
        <v>0</v>
      </c>
      <c r="H166" s="27">
        <f>SUMIF(일람표!$A$2:$A$36,C166,일람표!J$2:J$36)</f>
        <v>0</v>
      </c>
      <c r="I166" s="27">
        <f>SUMIF(일람표!$A$2:$A$36,C166,일람표!E$2:E$36)</f>
        <v>0</v>
      </c>
      <c r="J166" s="28"/>
      <c r="K166" s="29"/>
      <c r="L166" s="30"/>
      <c r="M166" s="30"/>
      <c r="N166" s="30"/>
      <c r="O166" s="31"/>
      <c r="P166" s="32">
        <f t="shared" si="14"/>
        <v>0</v>
      </c>
      <c r="Q166" s="33" t="str">
        <f t="shared" si="13"/>
        <v/>
      </c>
      <c r="R166" s="34">
        <f t="shared" si="15"/>
        <v>0</v>
      </c>
      <c r="S166" s="35"/>
      <c r="T166" s="12"/>
    </row>
    <row r="167" spans="1:20" s="54" customFormat="1" ht="13.5" customHeight="1">
      <c r="A167" s="47"/>
      <c r="B167" s="46"/>
      <c r="C167" s="46"/>
      <c r="D167" s="26" t="str">
        <f>IF(A167="","",VLOOKUP($C167,일람표!$A$2:$K$36,11,FALSE))</f>
        <v/>
      </c>
      <c r="E167" s="26" t="str">
        <f>IF(A167="","",VLOOKUP($C167,일람표!$A$2:$J$36,6,FALSE))</f>
        <v/>
      </c>
      <c r="F167" s="26" t="str">
        <f>IF(A167="","",RIGHT(VLOOKUP($C167,일람표!$A$1:$H$36,2,FALSE),5))</f>
        <v/>
      </c>
      <c r="G167" s="27">
        <f>SUMIF(일람표!$A$2:$A$36,C167,일람표!H$2:H$36)</f>
        <v>0</v>
      </c>
      <c r="H167" s="27">
        <f>SUMIF(일람표!$A$2:$A$36,C167,일람표!J$2:J$36)</f>
        <v>0</v>
      </c>
      <c r="I167" s="27">
        <f>SUMIF(일람표!$A$2:$A$36,C167,일람표!E$2:E$36)</f>
        <v>0</v>
      </c>
      <c r="J167" s="28"/>
      <c r="K167" s="29"/>
      <c r="L167" s="30"/>
      <c r="M167" s="30"/>
      <c r="N167" s="30"/>
      <c r="O167" s="31"/>
      <c r="P167" s="32">
        <f t="shared" si="14"/>
        <v>0</v>
      </c>
      <c r="Q167" s="33" t="str">
        <f t="shared" si="13"/>
        <v/>
      </c>
      <c r="R167" s="34">
        <f t="shared" si="15"/>
        <v>0</v>
      </c>
      <c r="S167" s="35"/>
      <c r="T167" s="12"/>
    </row>
    <row r="168" spans="1:20" s="54" customFormat="1" ht="13.5" customHeight="1">
      <c r="A168" s="47"/>
      <c r="B168" s="46"/>
      <c r="C168" s="46"/>
      <c r="D168" s="26" t="str">
        <f>IF(A168="","",VLOOKUP($C168,일람표!$A$2:$K$36,11,FALSE))</f>
        <v/>
      </c>
      <c r="E168" s="26" t="str">
        <f>IF(A168="","",VLOOKUP($C168,일람표!$A$2:$J$36,6,FALSE))</f>
        <v/>
      </c>
      <c r="F168" s="26" t="str">
        <f>IF(A168="","",RIGHT(VLOOKUP($C168,일람표!$A$1:$H$36,2,FALSE),5))</f>
        <v/>
      </c>
      <c r="G168" s="27">
        <f>SUMIF(일람표!$A$2:$A$36,C168,일람표!H$2:H$36)</f>
        <v>0</v>
      </c>
      <c r="H168" s="27">
        <f>SUMIF(일람표!$A$2:$A$36,C168,일람표!J$2:J$36)</f>
        <v>0</v>
      </c>
      <c r="I168" s="27">
        <f>SUMIF(일람표!$A$2:$A$36,C168,일람표!E$2:E$36)</f>
        <v>0</v>
      </c>
      <c r="J168" s="28"/>
      <c r="K168" s="29"/>
      <c r="L168" s="30"/>
      <c r="M168" s="30"/>
      <c r="N168" s="30"/>
      <c r="O168" s="31"/>
      <c r="P168" s="32">
        <f t="shared" si="14"/>
        <v>0</v>
      </c>
      <c r="Q168" s="33" t="str">
        <f t="shared" si="13"/>
        <v/>
      </c>
      <c r="R168" s="34">
        <f t="shared" si="15"/>
        <v>0</v>
      </c>
      <c r="S168" s="35"/>
      <c r="T168" s="12"/>
    </row>
    <row r="169" spans="1:20" s="54" customFormat="1" ht="13.5" customHeight="1">
      <c r="A169" s="47"/>
      <c r="B169" s="46"/>
      <c r="C169" s="46"/>
      <c r="D169" s="26" t="str">
        <f>IF(A169="","",VLOOKUP($C169,일람표!$A$2:$K$36,11,FALSE))</f>
        <v/>
      </c>
      <c r="E169" s="26" t="str">
        <f>IF(A169="","",VLOOKUP($C169,일람표!$A$2:$J$36,6,FALSE))</f>
        <v/>
      </c>
      <c r="F169" s="26" t="str">
        <f>IF(A169="","",RIGHT(VLOOKUP($C169,일람표!$A$1:$H$36,2,FALSE),5))</f>
        <v/>
      </c>
      <c r="G169" s="27">
        <f>SUMIF(일람표!$A$2:$A$36,C169,일람표!H$2:H$36)</f>
        <v>0</v>
      </c>
      <c r="H169" s="27">
        <f>SUMIF(일람표!$A$2:$A$36,C169,일람표!J$2:J$36)</f>
        <v>0</v>
      </c>
      <c r="I169" s="27">
        <f>SUMIF(일람표!$A$2:$A$36,C169,일람표!E$2:E$36)</f>
        <v>0</v>
      </c>
      <c r="J169" s="28"/>
      <c r="K169" s="29"/>
      <c r="L169" s="30"/>
      <c r="M169" s="30"/>
      <c r="N169" s="30"/>
      <c r="O169" s="31"/>
      <c r="P169" s="32">
        <f t="shared" si="14"/>
        <v>0</v>
      </c>
      <c r="Q169" s="33" t="str">
        <f t="shared" si="13"/>
        <v/>
      </c>
      <c r="R169" s="34">
        <f t="shared" si="15"/>
        <v>0</v>
      </c>
      <c r="S169" s="35"/>
      <c r="T169" s="12"/>
    </row>
    <row r="170" spans="1:20" s="54" customFormat="1" ht="13.5" customHeight="1">
      <c r="A170" s="47"/>
      <c r="B170" s="46"/>
      <c r="C170" s="46"/>
      <c r="D170" s="26" t="str">
        <f>IF(A170="","",VLOOKUP($C170,일람표!$A$2:$K$36,11,FALSE))</f>
        <v/>
      </c>
      <c r="E170" s="26" t="str">
        <f>IF(A170="","",VLOOKUP($C170,일람표!$A$2:$J$36,6,FALSE))</f>
        <v/>
      </c>
      <c r="F170" s="26" t="str">
        <f>IF(A170="","",RIGHT(VLOOKUP($C170,일람표!$A$1:$H$36,2,FALSE),5))</f>
        <v/>
      </c>
      <c r="G170" s="27">
        <f>SUMIF(일람표!$A$2:$A$36,C170,일람표!H$2:H$36)</f>
        <v>0</v>
      </c>
      <c r="H170" s="27">
        <f>SUMIF(일람표!$A$2:$A$36,C170,일람표!J$2:J$36)</f>
        <v>0</v>
      </c>
      <c r="I170" s="27">
        <f>SUMIF(일람표!$A$2:$A$36,C170,일람표!E$2:E$36)</f>
        <v>0</v>
      </c>
      <c r="J170" s="28"/>
      <c r="K170" s="29"/>
      <c r="L170" s="30"/>
      <c r="M170" s="30"/>
      <c r="N170" s="30"/>
      <c r="O170" s="31"/>
      <c r="P170" s="32">
        <f t="shared" si="14"/>
        <v>0</v>
      </c>
      <c r="Q170" s="33" t="str">
        <f t="shared" si="13"/>
        <v/>
      </c>
      <c r="R170" s="34">
        <f t="shared" si="15"/>
        <v>0</v>
      </c>
      <c r="S170" s="35"/>
      <c r="T170" s="12"/>
    </row>
    <row r="171" spans="1:20" s="54" customFormat="1" ht="13.5" customHeight="1">
      <c r="A171" s="47"/>
      <c r="B171" s="46"/>
      <c r="C171" s="46"/>
      <c r="D171" s="26" t="str">
        <f>IF(A171="","",VLOOKUP($C171,일람표!$A$2:$K$36,11,FALSE))</f>
        <v/>
      </c>
      <c r="E171" s="26" t="str">
        <f>IF(A171="","",VLOOKUP($C171,일람표!$A$2:$J$36,6,FALSE))</f>
        <v/>
      </c>
      <c r="F171" s="26" t="str">
        <f>IF(A171="","",RIGHT(VLOOKUP($C171,일람표!$A$1:$H$36,2,FALSE),5))</f>
        <v/>
      </c>
      <c r="G171" s="27">
        <f>SUMIF(일람표!$A$2:$A$36,C171,일람표!H$2:H$36)</f>
        <v>0</v>
      </c>
      <c r="H171" s="27">
        <f>SUMIF(일람표!$A$2:$A$36,C171,일람표!J$2:J$36)</f>
        <v>0</v>
      </c>
      <c r="I171" s="27">
        <f>SUMIF(일람표!$A$2:$A$36,C171,일람표!E$2:E$36)</f>
        <v>0</v>
      </c>
      <c r="J171" s="28"/>
      <c r="K171" s="29"/>
      <c r="L171" s="30"/>
      <c r="M171" s="30"/>
      <c r="N171" s="30"/>
      <c r="O171" s="31"/>
      <c r="P171" s="32">
        <f t="shared" si="14"/>
        <v>0</v>
      </c>
      <c r="Q171" s="33" t="str">
        <f t="shared" si="13"/>
        <v/>
      </c>
      <c r="R171" s="34">
        <f t="shared" si="15"/>
        <v>0</v>
      </c>
      <c r="S171" s="35"/>
      <c r="T171" s="12"/>
    </row>
    <row r="172" spans="1:20" s="54" customFormat="1" ht="13.5" customHeight="1">
      <c r="A172" s="47"/>
      <c r="B172" s="46"/>
      <c r="C172" s="46"/>
      <c r="D172" s="26" t="str">
        <f>IF(A172="","",VLOOKUP($C172,일람표!$A$2:$K$36,11,FALSE))</f>
        <v/>
      </c>
      <c r="E172" s="26" t="str">
        <f>IF(A172="","",VLOOKUP($C172,일람표!$A$2:$J$36,6,FALSE))</f>
        <v/>
      </c>
      <c r="F172" s="26" t="str">
        <f>IF(A172="","",RIGHT(VLOOKUP($C172,일람표!$A$1:$H$36,2,FALSE),5))</f>
        <v/>
      </c>
      <c r="G172" s="27">
        <f>SUMIF(일람표!$A$2:$A$36,C172,일람표!H$2:H$36)</f>
        <v>0</v>
      </c>
      <c r="H172" s="27">
        <f>SUMIF(일람표!$A$2:$A$36,C172,일람표!J$2:J$36)</f>
        <v>0</v>
      </c>
      <c r="I172" s="27">
        <f>SUMIF(일람표!$A$2:$A$36,C172,일람표!E$2:E$36)</f>
        <v>0</v>
      </c>
      <c r="J172" s="28"/>
      <c r="K172" s="29"/>
      <c r="L172" s="30"/>
      <c r="M172" s="30"/>
      <c r="N172" s="30"/>
      <c r="O172" s="31"/>
      <c r="P172" s="32">
        <f t="shared" si="14"/>
        <v>0</v>
      </c>
      <c r="Q172" s="33" t="str">
        <f t="shared" si="13"/>
        <v/>
      </c>
      <c r="R172" s="34">
        <f t="shared" si="15"/>
        <v>0</v>
      </c>
      <c r="S172" s="35"/>
      <c r="T172" s="12"/>
    </row>
    <row r="173" spans="1:20" s="54" customFormat="1" ht="13.5" customHeight="1">
      <c r="A173" s="47"/>
      <c r="B173" s="46"/>
      <c r="C173" s="46"/>
      <c r="D173" s="26" t="str">
        <f>IF(A173="","",VLOOKUP($C173,일람표!$A$2:$K$36,11,FALSE))</f>
        <v/>
      </c>
      <c r="E173" s="26" t="str">
        <f>IF(A173="","",VLOOKUP($C173,일람표!$A$2:$J$36,6,FALSE))</f>
        <v/>
      </c>
      <c r="F173" s="26" t="str">
        <f>IF(A173="","",RIGHT(VLOOKUP($C173,일람표!$A$1:$H$36,2,FALSE),5))</f>
        <v/>
      </c>
      <c r="G173" s="27">
        <f>SUMIF(일람표!$A$2:$A$36,C173,일람표!H$2:H$36)</f>
        <v>0</v>
      </c>
      <c r="H173" s="27">
        <f>SUMIF(일람표!$A$2:$A$36,C173,일람표!J$2:J$36)</f>
        <v>0</v>
      </c>
      <c r="I173" s="27">
        <f>SUMIF(일람표!$A$2:$A$36,C173,일람표!E$2:E$36)</f>
        <v>0</v>
      </c>
      <c r="J173" s="28"/>
      <c r="K173" s="29"/>
      <c r="L173" s="30"/>
      <c r="M173" s="30"/>
      <c r="N173" s="30"/>
      <c r="O173" s="31"/>
      <c r="P173" s="32">
        <f t="shared" si="14"/>
        <v>0</v>
      </c>
      <c r="Q173" s="33" t="str">
        <f t="shared" si="13"/>
        <v/>
      </c>
      <c r="R173" s="34">
        <f t="shared" si="15"/>
        <v>0</v>
      </c>
      <c r="S173" s="35"/>
      <c r="T173" s="12"/>
    </row>
    <row r="174" spans="1:20" s="54" customFormat="1" ht="13.5" customHeight="1">
      <c r="A174" s="47"/>
      <c r="B174" s="46"/>
      <c r="C174" s="46"/>
      <c r="D174" s="26" t="str">
        <f>IF(A174="","",VLOOKUP($C174,일람표!$A$2:$K$36,11,FALSE))</f>
        <v/>
      </c>
      <c r="E174" s="26" t="str">
        <f>IF(A174="","",VLOOKUP($C174,일람표!$A$2:$J$36,6,FALSE))</f>
        <v/>
      </c>
      <c r="F174" s="26" t="str">
        <f>IF(A174="","",RIGHT(VLOOKUP($C174,일람표!$A$1:$H$36,2,FALSE),5))</f>
        <v/>
      </c>
      <c r="G174" s="27">
        <f>SUMIF(일람표!$A$2:$A$36,C174,일람표!H$2:H$36)</f>
        <v>0</v>
      </c>
      <c r="H174" s="27">
        <f>SUMIF(일람표!$A$2:$A$36,C174,일람표!J$2:J$36)</f>
        <v>0</v>
      </c>
      <c r="I174" s="27">
        <f>SUMIF(일람표!$A$2:$A$36,C174,일람표!E$2:E$36)</f>
        <v>0</v>
      </c>
      <c r="J174" s="28"/>
      <c r="K174" s="29"/>
      <c r="L174" s="30"/>
      <c r="M174" s="30"/>
      <c r="N174" s="30"/>
      <c r="O174" s="31"/>
      <c r="P174" s="32">
        <f t="shared" si="14"/>
        <v>0</v>
      </c>
      <c r="Q174" s="33" t="str">
        <f t="shared" si="13"/>
        <v/>
      </c>
      <c r="R174" s="34">
        <f t="shared" si="15"/>
        <v>0</v>
      </c>
      <c r="S174" s="35"/>
      <c r="T174" s="12"/>
    </row>
    <row r="175" spans="1:20" s="54" customFormat="1" ht="13.5" customHeight="1">
      <c r="A175" s="47"/>
      <c r="B175" s="46"/>
      <c r="C175" s="46"/>
      <c r="D175" s="26" t="str">
        <f>IF(A175="","",VLOOKUP($C175,일람표!$A$2:$K$36,11,FALSE))</f>
        <v/>
      </c>
      <c r="E175" s="26" t="str">
        <f>IF(A175="","",VLOOKUP($C175,일람표!$A$2:$J$36,6,FALSE))</f>
        <v/>
      </c>
      <c r="F175" s="26" t="str">
        <f>IF(A175="","",RIGHT(VLOOKUP($C175,일람표!$A$1:$H$36,2,FALSE),5))</f>
        <v/>
      </c>
      <c r="G175" s="27">
        <f>SUMIF(일람표!$A$2:$A$36,C175,일람표!H$2:H$36)</f>
        <v>0</v>
      </c>
      <c r="H175" s="27">
        <f>SUMIF(일람표!$A$2:$A$36,C175,일람표!J$2:J$36)</f>
        <v>0</v>
      </c>
      <c r="I175" s="27">
        <f>SUMIF(일람표!$A$2:$A$36,C175,일람표!E$2:E$36)</f>
        <v>0</v>
      </c>
      <c r="J175" s="28"/>
      <c r="K175" s="29"/>
      <c r="L175" s="30"/>
      <c r="M175" s="30"/>
      <c r="N175" s="30"/>
      <c r="O175" s="31"/>
      <c r="P175" s="32">
        <f t="shared" si="14"/>
        <v>0</v>
      </c>
      <c r="Q175" s="33" t="str">
        <f t="shared" si="13"/>
        <v/>
      </c>
      <c r="R175" s="34">
        <f t="shared" si="15"/>
        <v>0</v>
      </c>
      <c r="S175" s="35"/>
      <c r="T175" s="12"/>
    </row>
    <row r="176" spans="1:20" s="54" customFormat="1" ht="13.5" customHeight="1">
      <c r="A176" s="47"/>
      <c r="B176" s="46"/>
      <c r="C176" s="46"/>
      <c r="D176" s="26" t="str">
        <f>IF(A176="","",VLOOKUP($C176,일람표!$A$2:$K$36,11,FALSE))</f>
        <v/>
      </c>
      <c r="E176" s="26" t="str">
        <f>IF(A176="","",VLOOKUP($C176,일람표!$A$2:$J$36,6,FALSE))</f>
        <v/>
      </c>
      <c r="F176" s="26" t="str">
        <f>IF(A176="","",RIGHT(VLOOKUP($C176,일람표!$A$1:$H$36,2,FALSE),5))</f>
        <v/>
      </c>
      <c r="G176" s="27">
        <f>SUMIF(일람표!$A$2:$A$36,C176,일람표!H$2:H$36)</f>
        <v>0</v>
      </c>
      <c r="H176" s="27">
        <f>SUMIF(일람표!$A$2:$A$36,C176,일람표!J$2:J$36)</f>
        <v>0</v>
      </c>
      <c r="I176" s="27">
        <f>SUMIF(일람표!$A$2:$A$36,C176,일람표!E$2:E$36)</f>
        <v>0</v>
      </c>
      <c r="J176" s="28"/>
      <c r="K176" s="29"/>
      <c r="L176" s="30"/>
      <c r="M176" s="30"/>
      <c r="N176" s="30"/>
      <c r="O176" s="31"/>
      <c r="P176" s="32">
        <f t="shared" si="14"/>
        <v>0</v>
      </c>
      <c r="Q176" s="33" t="str">
        <f t="shared" si="13"/>
        <v/>
      </c>
      <c r="R176" s="34">
        <f t="shared" si="15"/>
        <v>0</v>
      </c>
      <c r="S176" s="35"/>
      <c r="T176" s="12"/>
    </row>
    <row r="177" spans="1:20" s="54" customFormat="1" ht="13.5" customHeight="1">
      <c r="A177" s="47"/>
      <c r="B177" s="46"/>
      <c r="C177" s="46"/>
      <c r="D177" s="26" t="str">
        <f>IF(A177="","",VLOOKUP($C177,일람표!$A$2:$K$36,11,FALSE))</f>
        <v/>
      </c>
      <c r="E177" s="26" t="str">
        <f>IF(A177="","",VLOOKUP($C177,일람표!$A$2:$J$36,6,FALSE))</f>
        <v/>
      </c>
      <c r="F177" s="26" t="str">
        <f>IF(A177="","",RIGHT(VLOOKUP($C177,일람표!$A$1:$H$36,2,FALSE),5))</f>
        <v/>
      </c>
      <c r="G177" s="27">
        <f>SUMIF(일람표!$A$2:$A$36,C177,일람표!H$2:H$36)</f>
        <v>0</v>
      </c>
      <c r="H177" s="27">
        <f>SUMIF(일람표!$A$2:$A$36,C177,일람표!J$2:J$36)</f>
        <v>0</v>
      </c>
      <c r="I177" s="27">
        <f>SUMIF(일람표!$A$2:$A$36,C177,일람표!E$2:E$36)</f>
        <v>0</v>
      </c>
      <c r="J177" s="28"/>
      <c r="K177" s="29"/>
      <c r="L177" s="30"/>
      <c r="M177" s="30"/>
      <c r="N177" s="30"/>
      <c r="O177" s="31"/>
      <c r="P177" s="32">
        <f t="shared" si="14"/>
        <v>0</v>
      </c>
      <c r="Q177" s="33" t="str">
        <f t="shared" ref="Q177:Q202" si="16">IF(A177="","",CONCATENATE(E177,F177,"-",G177))</f>
        <v/>
      </c>
      <c r="R177" s="34">
        <f t="shared" si="15"/>
        <v>0</v>
      </c>
      <c r="S177" s="35"/>
      <c r="T177" s="12"/>
    </row>
    <row r="178" spans="1:20" s="54" customFormat="1" ht="13.5" customHeight="1">
      <c r="A178" s="47"/>
      <c r="B178" s="46"/>
      <c r="C178" s="46"/>
      <c r="D178" s="26" t="str">
        <f>IF(A178="","",VLOOKUP($C178,일람표!$A$2:$K$36,11,FALSE))</f>
        <v/>
      </c>
      <c r="E178" s="26" t="str">
        <f>IF(A178="","",VLOOKUP($C178,일람표!$A$2:$J$36,6,FALSE))</f>
        <v/>
      </c>
      <c r="F178" s="26" t="str">
        <f>IF(A178="","",RIGHT(VLOOKUP($C178,일람표!$A$1:$H$36,2,FALSE),5))</f>
        <v/>
      </c>
      <c r="G178" s="27">
        <f>SUMIF(일람표!$A$2:$A$36,C178,일람표!H$2:H$36)</f>
        <v>0</v>
      </c>
      <c r="H178" s="27">
        <f>SUMIF(일람표!$A$2:$A$36,C178,일람표!J$2:J$36)</f>
        <v>0</v>
      </c>
      <c r="I178" s="27">
        <f>SUMIF(일람표!$A$2:$A$36,C178,일람표!E$2:E$36)</f>
        <v>0</v>
      </c>
      <c r="J178" s="28"/>
      <c r="K178" s="29"/>
      <c r="L178" s="30"/>
      <c r="M178" s="30"/>
      <c r="N178" s="30"/>
      <c r="O178" s="31"/>
      <c r="P178" s="32">
        <f t="shared" si="14"/>
        <v>0</v>
      </c>
      <c r="Q178" s="33" t="str">
        <f t="shared" si="16"/>
        <v/>
      </c>
      <c r="R178" s="34">
        <f t="shared" si="15"/>
        <v>0</v>
      </c>
      <c r="S178" s="35"/>
      <c r="T178" s="12"/>
    </row>
    <row r="179" spans="1:20" s="54" customFormat="1" ht="13.5" customHeight="1">
      <c r="A179" s="47"/>
      <c r="B179" s="46"/>
      <c r="C179" s="46"/>
      <c r="D179" s="26" t="str">
        <f>IF(A179="","",VLOOKUP($C179,일람표!$A$2:$K$36,11,FALSE))</f>
        <v/>
      </c>
      <c r="E179" s="26" t="str">
        <f>IF(A179="","",VLOOKUP($C179,일람표!$A$2:$J$36,6,FALSE))</f>
        <v/>
      </c>
      <c r="F179" s="26" t="str">
        <f>IF(A179="","",RIGHT(VLOOKUP($C179,일람표!$A$1:$H$36,2,FALSE),5))</f>
        <v/>
      </c>
      <c r="G179" s="27">
        <f>SUMIF(일람표!$A$2:$A$36,C179,일람표!H$2:H$36)</f>
        <v>0</v>
      </c>
      <c r="H179" s="27">
        <f>SUMIF(일람표!$A$2:$A$36,C179,일람표!J$2:J$36)</f>
        <v>0</v>
      </c>
      <c r="I179" s="27">
        <f>SUMIF(일람표!$A$2:$A$36,C179,일람표!E$2:E$36)</f>
        <v>0</v>
      </c>
      <c r="J179" s="28"/>
      <c r="K179" s="29"/>
      <c r="L179" s="30"/>
      <c r="M179" s="30"/>
      <c r="N179" s="30"/>
      <c r="O179" s="31"/>
      <c r="P179" s="32">
        <f t="shared" si="14"/>
        <v>0</v>
      </c>
      <c r="Q179" s="33" t="str">
        <f t="shared" si="16"/>
        <v/>
      </c>
      <c r="R179" s="34">
        <f t="shared" si="15"/>
        <v>0</v>
      </c>
      <c r="S179" s="35"/>
      <c r="T179" s="12"/>
    </row>
    <row r="180" spans="1:20" s="54" customFormat="1" ht="13.5" customHeight="1">
      <c r="A180" s="47"/>
      <c r="B180" s="46"/>
      <c r="C180" s="46"/>
      <c r="D180" s="26" t="str">
        <f>IF(A180="","",VLOOKUP($C180,일람표!$A$2:$K$36,11,FALSE))</f>
        <v/>
      </c>
      <c r="E180" s="26" t="str">
        <f>IF(A180="","",VLOOKUP($C180,일람표!$A$2:$J$36,6,FALSE))</f>
        <v/>
      </c>
      <c r="F180" s="26" t="str">
        <f>IF(A180="","",RIGHT(VLOOKUP($C180,일람표!$A$1:$H$36,2,FALSE),5))</f>
        <v/>
      </c>
      <c r="G180" s="27">
        <f>SUMIF(일람표!$A$2:$A$36,C180,일람표!H$2:H$36)</f>
        <v>0</v>
      </c>
      <c r="H180" s="27">
        <f>SUMIF(일람표!$A$2:$A$36,C180,일람표!J$2:J$36)</f>
        <v>0</v>
      </c>
      <c r="I180" s="27">
        <f>SUMIF(일람표!$A$2:$A$36,C180,일람표!E$2:E$36)</f>
        <v>0</v>
      </c>
      <c r="J180" s="28"/>
      <c r="K180" s="29"/>
      <c r="L180" s="30"/>
      <c r="M180" s="30"/>
      <c r="N180" s="30"/>
      <c r="O180" s="31"/>
      <c r="P180" s="32">
        <f t="shared" si="14"/>
        <v>0</v>
      </c>
      <c r="Q180" s="33" t="str">
        <f t="shared" si="16"/>
        <v/>
      </c>
      <c r="R180" s="34">
        <f t="shared" si="15"/>
        <v>0</v>
      </c>
      <c r="S180" s="35"/>
      <c r="T180" s="12"/>
    </row>
    <row r="181" spans="1:20" s="54" customFormat="1" ht="13.5" customHeight="1">
      <c r="A181" s="47"/>
      <c r="B181" s="46"/>
      <c r="C181" s="46"/>
      <c r="D181" s="26" t="str">
        <f>IF(A181="","",VLOOKUP($C181,일람표!$A$2:$K$36,11,FALSE))</f>
        <v/>
      </c>
      <c r="E181" s="26" t="str">
        <f>IF(A181="","",VLOOKUP($C181,일람표!$A$2:$J$36,6,FALSE))</f>
        <v/>
      </c>
      <c r="F181" s="26" t="str">
        <f>IF(A181="","",RIGHT(VLOOKUP($C181,일람표!$A$1:$H$36,2,FALSE),5))</f>
        <v/>
      </c>
      <c r="G181" s="27">
        <f>SUMIF(일람표!$A$2:$A$36,C181,일람표!H$2:H$36)</f>
        <v>0</v>
      </c>
      <c r="H181" s="27">
        <f>SUMIF(일람표!$A$2:$A$36,C181,일람표!J$2:J$36)</f>
        <v>0</v>
      </c>
      <c r="I181" s="27">
        <f>SUMIF(일람표!$A$2:$A$36,C181,일람표!E$2:E$36)</f>
        <v>0</v>
      </c>
      <c r="J181" s="28"/>
      <c r="K181" s="29"/>
      <c r="L181" s="30"/>
      <c r="M181" s="30"/>
      <c r="N181" s="30"/>
      <c r="O181" s="31"/>
      <c r="P181" s="32">
        <f t="shared" si="14"/>
        <v>0</v>
      </c>
      <c r="Q181" s="33" t="str">
        <f t="shared" si="16"/>
        <v/>
      </c>
      <c r="R181" s="34">
        <f t="shared" si="15"/>
        <v>0</v>
      </c>
      <c r="S181" s="35"/>
      <c r="T181" s="12"/>
    </row>
    <row r="182" spans="1:20" s="54" customFormat="1" ht="13.5" customHeight="1">
      <c r="A182" s="47"/>
      <c r="B182" s="46"/>
      <c r="C182" s="46"/>
      <c r="D182" s="26" t="str">
        <f>IF(A182="","",VLOOKUP($C182,일람표!$A$2:$K$36,11,FALSE))</f>
        <v/>
      </c>
      <c r="E182" s="26" t="str">
        <f>IF(A182="","",VLOOKUP($C182,일람표!$A$2:$J$36,6,FALSE))</f>
        <v/>
      </c>
      <c r="F182" s="26" t="str">
        <f>IF(A182="","",RIGHT(VLOOKUP($C182,일람표!$A$1:$H$36,2,FALSE),5))</f>
        <v/>
      </c>
      <c r="G182" s="27">
        <f>SUMIF(일람표!$A$2:$A$36,C182,일람표!H$2:H$36)</f>
        <v>0</v>
      </c>
      <c r="H182" s="27">
        <f>SUMIF(일람표!$A$2:$A$36,C182,일람표!J$2:J$36)</f>
        <v>0</v>
      </c>
      <c r="I182" s="27">
        <f>SUMIF(일람표!$A$2:$A$36,C182,일람표!E$2:E$36)</f>
        <v>0</v>
      </c>
      <c r="J182" s="28"/>
      <c r="K182" s="29"/>
      <c r="L182" s="30"/>
      <c r="M182" s="30"/>
      <c r="N182" s="30"/>
      <c r="O182" s="31"/>
      <c r="P182" s="32">
        <f t="shared" si="14"/>
        <v>0</v>
      </c>
      <c r="Q182" s="33" t="str">
        <f t="shared" si="16"/>
        <v/>
      </c>
      <c r="R182" s="34">
        <f t="shared" si="15"/>
        <v>0</v>
      </c>
      <c r="S182" s="35"/>
      <c r="T182" s="12"/>
    </row>
    <row r="183" spans="1:20" s="54" customFormat="1" ht="13.5" customHeight="1">
      <c r="A183" s="47"/>
      <c r="B183" s="46"/>
      <c r="C183" s="46"/>
      <c r="D183" s="26" t="str">
        <f>IF(A183="","",VLOOKUP($C183,일람표!$A$2:$K$36,11,FALSE))</f>
        <v/>
      </c>
      <c r="E183" s="26" t="str">
        <f>IF(A183="","",VLOOKUP($C183,일람표!$A$2:$J$36,6,FALSE))</f>
        <v/>
      </c>
      <c r="F183" s="26" t="str">
        <f>IF(A183="","",RIGHT(VLOOKUP($C183,일람표!$A$1:$H$36,2,FALSE),5))</f>
        <v/>
      </c>
      <c r="G183" s="27">
        <f>SUMIF(일람표!$A$2:$A$36,C183,일람표!H$2:H$36)</f>
        <v>0</v>
      </c>
      <c r="H183" s="27">
        <f>SUMIF(일람표!$A$2:$A$36,C183,일람표!J$2:J$36)</f>
        <v>0</v>
      </c>
      <c r="I183" s="27">
        <f>SUMIF(일람표!$A$2:$A$36,C183,일람표!E$2:E$36)</f>
        <v>0</v>
      </c>
      <c r="J183" s="28"/>
      <c r="K183" s="29"/>
      <c r="L183" s="30"/>
      <c r="M183" s="30"/>
      <c r="N183" s="30"/>
      <c r="O183" s="31"/>
      <c r="P183" s="32">
        <f t="shared" si="14"/>
        <v>0</v>
      </c>
      <c r="Q183" s="33" t="str">
        <f t="shared" si="16"/>
        <v/>
      </c>
      <c r="R183" s="34">
        <f t="shared" si="15"/>
        <v>0</v>
      </c>
      <c r="S183" s="35"/>
      <c r="T183" s="12"/>
    </row>
    <row r="184" spans="1:20" s="54" customFormat="1" ht="13.5" customHeight="1">
      <c r="A184" s="47"/>
      <c r="B184" s="46"/>
      <c r="C184" s="46"/>
      <c r="D184" s="26" t="str">
        <f>IF(A184="","",VLOOKUP($C184,일람표!$A$2:$K$36,11,FALSE))</f>
        <v/>
      </c>
      <c r="E184" s="26" t="str">
        <f>IF(A184="","",VLOOKUP($C184,일람표!$A$2:$J$36,6,FALSE))</f>
        <v/>
      </c>
      <c r="F184" s="26" t="str">
        <f>IF(A184="","",RIGHT(VLOOKUP($C184,일람표!$A$1:$H$36,2,FALSE),5))</f>
        <v/>
      </c>
      <c r="G184" s="27">
        <f>SUMIF(일람표!$A$2:$A$36,C184,일람표!H$2:H$36)</f>
        <v>0</v>
      </c>
      <c r="H184" s="27">
        <f>SUMIF(일람표!$A$2:$A$36,C184,일람표!J$2:J$36)</f>
        <v>0</v>
      </c>
      <c r="I184" s="27">
        <f>SUMIF(일람표!$A$2:$A$36,C184,일람표!E$2:E$36)</f>
        <v>0</v>
      </c>
      <c r="J184" s="28"/>
      <c r="K184" s="29"/>
      <c r="L184" s="30"/>
      <c r="M184" s="30"/>
      <c r="N184" s="30"/>
      <c r="O184" s="31"/>
      <c r="P184" s="32">
        <f t="shared" si="14"/>
        <v>0</v>
      </c>
      <c r="Q184" s="33" t="str">
        <f t="shared" si="16"/>
        <v/>
      </c>
      <c r="R184" s="34">
        <f t="shared" si="15"/>
        <v>0</v>
      </c>
      <c r="S184" s="35"/>
      <c r="T184" s="12"/>
    </row>
    <row r="185" spans="1:20" s="54" customFormat="1" ht="13.5" customHeight="1">
      <c r="A185" s="47"/>
      <c r="B185" s="46"/>
      <c r="C185" s="46"/>
      <c r="D185" s="26" t="str">
        <f>IF(A185="","",VLOOKUP($C185,일람표!$A$2:$K$36,11,FALSE))</f>
        <v/>
      </c>
      <c r="E185" s="26" t="str">
        <f>IF(A185="","",VLOOKUP($C185,일람표!$A$2:$J$36,6,FALSE))</f>
        <v/>
      </c>
      <c r="F185" s="26" t="str">
        <f>IF(A185="","",RIGHT(VLOOKUP($C185,일람표!$A$1:$H$36,2,FALSE),5))</f>
        <v/>
      </c>
      <c r="G185" s="27">
        <f>SUMIF(일람표!$A$2:$A$36,C185,일람표!H$2:H$36)</f>
        <v>0</v>
      </c>
      <c r="H185" s="27">
        <f>SUMIF(일람표!$A$2:$A$36,C185,일람표!J$2:J$36)</f>
        <v>0</v>
      </c>
      <c r="I185" s="27">
        <f>SUMIF(일람표!$A$2:$A$36,C185,일람표!E$2:E$36)</f>
        <v>0</v>
      </c>
      <c r="J185" s="28"/>
      <c r="K185" s="29"/>
      <c r="L185" s="30"/>
      <c r="M185" s="30"/>
      <c r="N185" s="30"/>
      <c r="O185" s="31"/>
      <c r="P185" s="32">
        <f t="shared" si="14"/>
        <v>0</v>
      </c>
      <c r="Q185" s="33" t="str">
        <f t="shared" si="16"/>
        <v/>
      </c>
      <c r="R185" s="34">
        <f t="shared" si="15"/>
        <v>0</v>
      </c>
      <c r="S185" s="35"/>
      <c r="T185" s="12"/>
    </row>
    <row r="186" spans="1:20" s="54" customFormat="1" ht="13.5" customHeight="1">
      <c r="A186" s="47"/>
      <c r="B186" s="46"/>
      <c r="C186" s="46"/>
      <c r="D186" s="26" t="str">
        <f>IF(A186="","",VLOOKUP($C186,일람표!$A$2:$K$36,11,FALSE))</f>
        <v/>
      </c>
      <c r="E186" s="26" t="str">
        <f>IF(A186="","",VLOOKUP($C186,일람표!$A$2:$J$36,6,FALSE))</f>
        <v/>
      </c>
      <c r="F186" s="26" t="str">
        <f>IF(A186="","",RIGHT(VLOOKUP($C186,일람표!$A$1:$H$36,2,FALSE),5))</f>
        <v/>
      </c>
      <c r="G186" s="27">
        <f>SUMIF(일람표!$A$2:$A$36,C186,일람표!H$2:H$36)</f>
        <v>0</v>
      </c>
      <c r="H186" s="27">
        <f>SUMIF(일람표!$A$2:$A$36,C186,일람표!J$2:J$36)</f>
        <v>0</v>
      </c>
      <c r="I186" s="27">
        <f>SUMIF(일람표!$A$2:$A$36,C186,일람표!E$2:E$36)</f>
        <v>0</v>
      </c>
      <c r="J186" s="28"/>
      <c r="K186" s="29"/>
      <c r="L186" s="30"/>
      <c r="M186" s="30"/>
      <c r="N186" s="30"/>
      <c r="O186" s="31"/>
      <c r="P186" s="32">
        <f t="shared" si="14"/>
        <v>0</v>
      </c>
      <c r="Q186" s="33" t="str">
        <f t="shared" si="16"/>
        <v/>
      </c>
      <c r="R186" s="34">
        <f t="shared" si="15"/>
        <v>0</v>
      </c>
      <c r="S186" s="35"/>
      <c r="T186" s="12"/>
    </row>
    <row r="187" spans="1:20" s="54" customFormat="1" ht="13.5" customHeight="1">
      <c r="A187" s="47"/>
      <c r="B187" s="46"/>
      <c r="C187" s="46"/>
      <c r="D187" s="26" t="str">
        <f>IF(A187="","",VLOOKUP($C187,일람표!$A$2:$K$36,11,FALSE))</f>
        <v/>
      </c>
      <c r="E187" s="26" t="str">
        <f>IF(A187="","",VLOOKUP($C187,일람표!$A$2:$J$36,6,FALSE))</f>
        <v/>
      </c>
      <c r="F187" s="26" t="str">
        <f>IF(A187="","",RIGHT(VLOOKUP($C187,일람표!$A$1:$H$36,2,FALSE),5))</f>
        <v/>
      </c>
      <c r="G187" s="27">
        <f>SUMIF(일람표!$A$2:$A$36,C187,일람표!H$2:H$36)</f>
        <v>0</v>
      </c>
      <c r="H187" s="27">
        <f>SUMIF(일람표!$A$2:$A$36,C187,일람표!J$2:J$36)</f>
        <v>0</v>
      </c>
      <c r="I187" s="27">
        <f>SUMIF(일람표!$A$2:$A$36,C187,일람표!E$2:E$36)</f>
        <v>0</v>
      </c>
      <c r="J187" s="28"/>
      <c r="K187" s="29"/>
      <c r="L187" s="30"/>
      <c r="M187" s="30"/>
      <c r="N187" s="30"/>
      <c r="O187" s="31"/>
      <c r="P187" s="32">
        <f t="shared" si="14"/>
        <v>0</v>
      </c>
      <c r="Q187" s="33" t="str">
        <f t="shared" si="16"/>
        <v/>
      </c>
      <c r="R187" s="34">
        <f t="shared" si="15"/>
        <v>0</v>
      </c>
      <c r="S187" s="35"/>
      <c r="T187" s="12"/>
    </row>
    <row r="188" spans="1:20" s="54" customFormat="1" ht="13.5" customHeight="1">
      <c r="A188" s="47"/>
      <c r="B188" s="46"/>
      <c r="C188" s="46"/>
      <c r="D188" s="26" t="str">
        <f>IF(A188="","",VLOOKUP($C188,일람표!$A$2:$K$36,11,FALSE))</f>
        <v/>
      </c>
      <c r="E188" s="26" t="str">
        <f>IF(A188="","",VLOOKUP($C188,일람표!$A$2:$J$36,6,FALSE))</f>
        <v/>
      </c>
      <c r="F188" s="26" t="str">
        <f>IF(A188="","",RIGHT(VLOOKUP($C188,일람표!$A$1:$H$36,2,FALSE),5))</f>
        <v/>
      </c>
      <c r="G188" s="27">
        <f>SUMIF(일람표!$A$2:$A$36,C188,일람표!H$2:H$36)</f>
        <v>0</v>
      </c>
      <c r="H188" s="27">
        <f>SUMIF(일람표!$A$2:$A$36,C188,일람표!J$2:J$36)</f>
        <v>0</v>
      </c>
      <c r="I188" s="27">
        <f>SUMIF(일람표!$A$2:$A$36,C188,일람표!E$2:E$36)</f>
        <v>0</v>
      </c>
      <c r="J188" s="28"/>
      <c r="K188" s="29"/>
      <c r="L188" s="30"/>
      <c r="M188" s="30"/>
      <c r="N188" s="30"/>
      <c r="O188" s="31"/>
      <c r="P188" s="32">
        <f t="shared" si="14"/>
        <v>0</v>
      </c>
      <c r="Q188" s="33" t="str">
        <f t="shared" si="16"/>
        <v/>
      </c>
      <c r="R188" s="34">
        <f t="shared" si="15"/>
        <v>0</v>
      </c>
      <c r="S188" s="35"/>
      <c r="T188" s="12"/>
    </row>
    <row r="189" spans="1:20" s="54" customFormat="1" ht="13.5" customHeight="1">
      <c r="A189" s="47"/>
      <c r="B189" s="46"/>
      <c r="C189" s="46"/>
      <c r="D189" s="26" t="str">
        <f>IF(A189="","",VLOOKUP($C189,일람표!$A$2:$K$36,11,FALSE))</f>
        <v/>
      </c>
      <c r="E189" s="26" t="str">
        <f>IF(A189="","",VLOOKUP($C189,일람표!$A$2:$J$36,6,FALSE))</f>
        <v/>
      </c>
      <c r="F189" s="26" t="str">
        <f>IF(A189="","",RIGHT(VLOOKUP($C189,일람표!$A$1:$H$36,2,FALSE),5))</f>
        <v/>
      </c>
      <c r="G189" s="27">
        <f>SUMIF(일람표!$A$2:$A$36,C189,일람표!H$2:H$36)</f>
        <v>0</v>
      </c>
      <c r="H189" s="27">
        <f>SUMIF(일람표!$A$2:$A$36,C189,일람표!J$2:J$36)</f>
        <v>0</v>
      </c>
      <c r="I189" s="27">
        <f>SUMIF(일람표!$A$2:$A$36,C189,일람표!E$2:E$36)</f>
        <v>0</v>
      </c>
      <c r="J189" s="28"/>
      <c r="K189" s="29"/>
      <c r="L189" s="30"/>
      <c r="M189" s="30"/>
      <c r="N189" s="30"/>
      <c r="O189" s="31"/>
      <c r="P189" s="32">
        <f t="shared" si="14"/>
        <v>0</v>
      </c>
      <c r="Q189" s="33" t="str">
        <f t="shared" si="16"/>
        <v/>
      </c>
      <c r="R189" s="34">
        <f t="shared" si="15"/>
        <v>0</v>
      </c>
      <c r="S189" s="35"/>
      <c r="T189" s="12"/>
    </row>
    <row r="190" spans="1:20" s="54" customFormat="1" ht="13.5" customHeight="1">
      <c r="A190" s="47"/>
      <c r="B190" s="46"/>
      <c r="C190" s="46"/>
      <c r="D190" s="26" t="str">
        <f>IF(A190="","",VLOOKUP($C190,일람표!$A$2:$K$36,11,FALSE))</f>
        <v/>
      </c>
      <c r="E190" s="26" t="str">
        <f>IF(A190="","",VLOOKUP($C190,일람표!$A$2:$J$36,6,FALSE))</f>
        <v/>
      </c>
      <c r="F190" s="26" t="str">
        <f>IF(A190="","",RIGHT(VLOOKUP($C190,일람표!$A$1:$H$36,2,FALSE),5))</f>
        <v/>
      </c>
      <c r="G190" s="27">
        <f>SUMIF(일람표!$A$2:$A$36,C190,일람표!H$2:H$36)</f>
        <v>0</v>
      </c>
      <c r="H190" s="27">
        <f>SUMIF(일람표!$A$2:$A$36,C190,일람표!J$2:J$36)</f>
        <v>0</v>
      </c>
      <c r="I190" s="27">
        <f>SUMIF(일람표!$A$2:$A$36,C190,일람표!E$2:E$36)</f>
        <v>0</v>
      </c>
      <c r="J190" s="28"/>
      <c r="K190" s="29"/>
      <c r="L190" s="30"/>
      <c r="M190" s="30"/>
      <c r="N190" s="30"/>
      <c r="O190" s="31"/>
      <c r="P190" s="32">
        <f t="shared" si="14"/>
        <v>0</v>
      </c>
      <c r="Q190" s="33" t="str">
        <f t="shared" si="16"/>
        <v/>
      </c>
      <c r="R190" s="34">
        <f t="shared" si="15"/>
        <v>0</v>
      </c>
      <c r="S190" s="35"/>
      <c r="T190" s="12"/>
    </row>
    <row r="191" spans="1:20" s="54" customFormat="1" ht="13.5" customHeight="1">
      <c r="A191" s="47"/>
      <c r="B191" s="46"/>
      <c r="C191" s="46"/>
      <c r="D191" s="26" t="str">
        <f>IF(A191="","",VLOOKUP($C191,일람표!$A$2:$K$36,11,FALSE))</f>
        <v/>
      </c>
      <c r="E191" s="26" t="str">
        <f>IF(A191="","",VLOOKUP($C191,일람표!$A$2:$J$36,6,FALSE))</f>
        <v/>
      </c>
      <c r="F191" s="26" t="str">
        <f>IF(A191="","",RIGHT(VLOOKUP($C191,일람표!$A$1:$H$36,2,FALSE),5))</f>
        <v/>
      </c>
      <c r="G191" s="27">
        <f>SUMIF(일람표!$A$2:$A$36,C191,일람표!H$2:H$36)</f>
        <v>0</v>
      </c>
      <c r="H191" s="27">
        <f>SUMIF(일람표!$A$2:$A$36,C191,일람표!J$2:J$36)</f>
        <v>0</v>
      </c>
      <c r="I191" s="27">
        <f>SUMIF(일람표!$A$2:$A$36,C191,일람표!E$2:E$36)</f>
        <v>0</v>
      </c>
      <c r="J191" s="28"/>
      <c r="K191" s="29"/>
      <c r="L191" s="30"/>
      <c r="M191" s="30"/>
      <c r="N191" s="30"/>
      <c r="O191" s="31"/>
      <c r="P191" s="32">
        <f t="shared" si="14"/>
        <v>0</v>
      </c>
      <c r="Q191" s="33" t="str">
        <f t="shared" si="16"/>
        <v/>
      </c>
      <c r="R191" s="34">
        <f t="shared" si="15"/>
        <v>0</v>
      </c>
      <c r="S191" s="35"/>
      <c r="T191" s="12"/>
    </row>
    <row r="192" spans="1:20" s="54" customFormat="1" ht="13.5" customHeight="1">
      <c r="A192" s="47"/>
      <c r="B192" s="46"/>
      <c r="C192" s="46"/>
      <c r="D192" s="26" t="str">
        <f>IF(A192="","",VLOOKUP($C192,일람표!$A$2:$K$36,11,FALSE))</f>
        <v/>
      </c>
      <c r="E192" s="26" t="str">
        <f>IF(A192="","",VLOOKUP($C192,일람표!$A$2:$J$36,6,FALSE))</f>
        <v/>
      </c>
      <c r="F192" s="26" t="str">
        <f>IF(A192="","",RIGHT(VLOOKUP($C192,일람표!$A$1:$H$36,2,FALSE),5))</f>
        <v/>
      </c>
      <c r="G192" s="27">
        <f>SUMIF(일람표!$A$2:$A$36,C192,일람표!H$2:H$36)</f>
        <v>0</v>
      </c>
      <c r="H192" s="27">
        <f>SUMIF(일람표!$A$2:$A$36,C192,일람표!J$2:J$36)</f>
        <v>0</v>
      </c>
      <c r="I192" s="27">
        <f>SUMIF(일람표!$A$2:$A$36,C192,일람표!E$2:E$36)</f>
        <v>0</v>
      </c>
      <c r="J192" s="28"/>
      <c r="K192" s="29"/>
      <c r="L192" s="30"/>
      <c r="M192" s="30"/>
      <c r="N192" s="30"/>
      <c r="O192" s="31"/>
      <c r="P192" s="32">
        <f t="shared" si="14"/>
        <v>0</v>
      </c>
      <c r="Q192" s="33" t="str">
        <f t="shared" si="16"/>
        <v/>
      </c>
      <c r="R192" s="34">
        <f t="shared" si="15"/>
        <v>0</v>
      </c>
      <c r="S192" s="35"/>
      <c r="T192" s="12"/>
    </row>
    <row r="193" spans="1:20" s="54" customFormat="1" ht="13.5" customHeight="1">
      <c r="A193" s="47"/>
      <c r="B193" s="46"/>
      <c r="C193" s="46"/>
      <c r="D193" s="26" t="str">
        <f>IF(A193="","",VLOOKUP($C193,일람표!$A$2:$K$36,11,FALSE))</f>
        <v/>
      </c>
      <c r="E193" s="26" t="str">
        <f>IF(A193="","",VLOOKUP($C193,일람표!$A$2:$J$36,6,FALSE))</f>
        <v/>
      </c>
      <c r="F193" s="26" t="str">
        <f>IF(A193="","",RIGHT(VLOOKUP($C193,일람표!$A$1:$H$36,2,FALSE),5))</f>
        <v/>
      </c>
      <c r="G193" s="27">
        <f>SUMIF(일람표!$A$2:$A$36,C193,일람표!H$2:H$36)</f>
        <v>0</v>
      </c>
      <c r="H193" s="27">
        <f>SUMIF(일람표!$A$2:$A$36,C193,일람표!J$2:J$36)</f>
        <v>0</v>
      </c>
      <c r="I193" s="27">
        <f>SUMIF(일람표!$A$2:$A$36,C193,일람표!E$2:E$36)</f>
        <v>0</v>
      </c>
      <c r="J193" s="28"/>
      <c r="K193" s="29"/>
      <c r="L193" s="30"/>
      <c r="M193" s="30"/>
      <c r="N193" s="30"/>
      <c r="O193" s="31"/>
      <c r="P193" s="32">
        <f t="shared" si="14"/>
        <v>0</v>
      </c>
      <c r="Q193" s="33" t="str">
        <f t="shared" si="16"/>
        <v/>
      </c>
      <c r="R193" s="34">
        <f t="shared" si="15"/>
        <v>0</v>
      </c>
      <c r="S193" s="35"/>
      <c r="T193" s="12"/>
    </row>
    <row r="194" spans="1:20" s="54" customFormat="1" ht="13.5" customHeight="1">
      <c r="A194" s="47"/>
      <c r="B194" s="46"/>
      <c r="C194" s="46"/>
      <c r="D194" s="26" t="str">
        <f>IF(A194="","",VLOOKUP($C194,일람표!$A$2:$K$36,11,FALSE))</f>
        <v/>
      </c>
      <c r="E194" s="26" t="str">
        <f>IF(A194="","",VLOOKUP($C194,일람표!$A$2:$J$36,6,FALSE))</f>
        <v/>
      </c>
      <c r="F194" s="26" t="str">
        <f>IF(A194="","",RIGHT(VLOOKUP($C194,일람표!$A$1:$H$36,2,FALSE),5))</f>
        <v/>
      </c>
      <c r="G194" s="27">
        <f>SUMIF(일람표!$A$2:$A$36,C194,일람표!H$2:H$36)</f>
        <v>0</v>
      </c>
      <c r="H194" s="27">
        <f>SUMIF(일람표!$A$2:$A$36,C194,일람표!J$2:J$36)</f>
        <v>0</v>
      </c>
      <c r="I194" s="27">
        <f>SUMIF(일람표!$A$2:$A$36,C194,일람표!E$2:E$36)</f>
        <v>0</v>
      </c>
      <c r="J194" s="28"/>
      <c r="K194" s="29"/>
      <c r="L194" s="30"/>
      <c r="M194" s="30"/>
      <c r="N194" s="30"/>
      <c r="O194" s="31"/>
      <c r="P194" s="32">
        <f t="shared" si="14"/>
        <v>0</v>
      </c>
      <c r="Q194" s="33" t="str">
        <f t="shared" si="16"/>
        <v/>
      </c>
      <c r="R194" s="34">
        <f t="shared" si="15"/>
        <v>0</v>
      </c>
      <c r="S194" s="35"/>
      <c r="T194" s="12"/>
    </row>
    <row r="195" spans="1:20" s="54" customFormat="1" ht="13.5" customHeight="1">
      <c r="A195" s="47"/>
      <c r="B195" s="46"/>
      <c r="C195" s="46"/>
      <c r="D195" s="26" t="str">
        <f>IF(A195="","",VLOOKUP($C195,일람표!$A$2:$K$36,11,FALSE))</f>
        <v/>
      </c>
      <c r="E195" s="26" t="str">
        <f>IF(A195="","",VLOOKUP($C195,일람표!$A$2:$J$36,6,FALSE))</f>
        <v/>
      </c>
      <c r="F195" s="26" t="str">
        <f>IF(A195="","",RIGHT(VLOOKUP($C195,일람표!$A$1:$H$36,2,FALSE),5))</f>
        <v/>
      </c>
      <c r="G195" s="27">
        <f>SUMIF(일람표!$A$2:$A$36,C195,일람표!H$2:H$36)</f>
        <v>0</v>
      </c>
      <c r="H195" s="27">
        <f>SUMIF(일람표!$A$2:$A$36,C195,일람표!J$2:J$36)</f>
        <v>0</v>
      </c>
      <c r="I195" s="27">
        <f>SUMIF(일람표!$A$2:$A$36,C195,일람표!E$2:E$36)</f>
        <v>0</v>
      </c>
      <c r="J195" s="28"/>
      <c r="K195" s="29"/>
      <c r="L195" s="30"/>
      <c r="M195" s="30"/>
      <c r="N195" s="30"/>
      <c r="O195" s="31"/>
      <c r="P195" s="32">
        <f t="shared" ref="P195:P202" si="17">K195+L195+M195+N195+O195</f>
        <v>0</v>
      </c>
      <c r="Q195" s="33" t="str">
        <f t="shared" si="16"/>
        <v/>
      </c>
      <c r="R195" s="34">
        <f t="shared" si="15"/>
        <v>0</v>
      </c>
      <c r="S195" s="35"/>
      <c r="T195" s="12"/>
    </row>
    <row r="196" spans="1:20" s="54" customFormat="1" ht="13.5" customHeight="1">
      <c r="A196" s="47"/>
      <c r="B196" s="46"/>
      <c r="C196" s="46"/>
      <c r="D196" s="26" t="str">
        <f>IF(A196="","",VLOOKUP($C196,일람표!$A$2:$K$36,11,FALSE))</f>
        <v/>
      </c>
      <c r="E196" s="26" t="str">
        <f>IF(A196="","",VLOOKUP($C196,일람표!$A$2:$J$36,6,FALSE))</f>
        <v/>
      </c>
      <c r="F196" s="26" t="str">
        <f>IF(A196="","",RIGHT(VLOOKUP($C196,일람표!$A$1:$H$36,2,FALSE),5))</f>
        <v/>
      </c>
      <c r="G196" s="27">
        <f>SUMIF(일람표!$A$2:$A$36,C196,일람표!H$2:H$36)</f>
        <v>0</v>
      </c>
      <c r="H196" s="27">
        <f>SUMIF(일람표!$A$2:$A$36,C196,일람표!J$2:J$36)</f>
        <v>0</v>
      </c>
      <c r="I196" s="27">
        <f>SUMIF(일람표!$A$2:$A$36,C196,일람표!E$2:E$36)</f>
        <v>0</v>
      </c>
      <c r="J196" s="28"/>
      <c r="K196" s="29"/>
      <c r="L196" s="30"/>
      <c r="M196" s="30"/>
      <c r="N196" s="30"/>
      <c r="O196" s="31"/>
      <c r="P196" s="32">
        <f t="shared" si="17"/>
        <v>0</v>
      </c>
      <c r="Q196" s="33" t="str">
        <f t="shared" si="16"/>
        <v/>
      </c>
      <c r="R196" s="34">
        <f t="shared" si="15"/>
        <v>0</v>
      </c>
      <c r="S196" s="35"/>
      <c r="T196" s="12"/>
    </row>
    <row r="197" spans="1:20" s="54" customFormat="1" ht="13.5" customHeight="1">
      <c r="A197" s="47"/>
      <c r="B197" s="46"/>
      <c r="C197" s="46"/>
      <c r="D197" s="26" t="str">
        <f>IF(A197="","",VLOOKUP($C197,일람표!$A$2:$K$36,11,FALSE))</f>
        <v/>
      </c>
      <c r="E197" s="26" t="str">
        <f>IF(A197="","",VLOOKUP($C197,일람표!$A$2:$J$36,6,FALSE))</f>
        <v/>
      </c>
      <c r="F197" s="26" t="str">
        <f>IF(A197="","",RIGHT(VLOOKUP($C197,일람표!$A$1:$H$36,2,FALSE),5))</f>
        <v/>
      </c>
      <c r="G197" s="27">
        <f>SUMIF(일람표!$A$2:$A$36,C197,일람표!H$2:H$36)</f>
        <v>0</v>
      </c>
      <c r="H197" s="27">
        <f>SUMIF(일람표!$A$2:$A$36,C197,일람표!J$2:J$36)</f>
        <v>0</v>
      </c>
      <c r="I197" s="27">
        <f>SUMIF(일람표!$A$2:$A$36,C197,일람표!E$2:E$36)</f>
        <v>0</v>
      </c>
      <c r="J197" s="28"/>
      <c r="K197" s="29"/>
      <c r="L197" s="30"/>
      <c r="M197" s="30"/>
      <c r="N197" s="30"/>
      <c r="O197" s="31"/>
      <c r="P197" s="32">
        <f t="shared" si="17"/>
        <v>0</v>
      </c>
      <c r="Q197" s="33" t="str">
        <f t="shared" si="16"/>
        <v/>
      </c>
      <c r="R197" s="34">
        <f t="shared" si="15"/>
        <v>0</v>
      </c>
      <c r="S197" s="35"/>
      <c r="T197" s="12"/>
    </row>
    <row r="198" spans="1:20" s="54" customFormat="1" ht="13.5" customHeight="1">
      <c r="A198" s="47"/>
      <c r="B198" s="46"/>
      <c r="C198" s="46"/>
      <c r="D198" s="26" t="str">
        <f>IF(A198="","",VLOOKUP($C198,일람표!$A$2:$K$36,11,FALSE))</f>
        <v/>
      </c>
      <c r="E198" s="26" t="str">
        <f>IF(A198="","",VLOOKUP($C198,일람표!$A$2:$J$36,6,FALSE))</f>
        <v/>
      </c>
      <c r="F198" s="26" t="str">
        <f>IF(A198="","",RIGHT(VLOOKUP($C198,일람표!$A$1:$H$36,2,FALSE),5))</f>
        <v/>
      </c>
      <c r="G198" s="27">
        <f>SUMIF(일람표!$A$2:$A$36,C198,일람표!H$2:H$36)</f>
        <v>0</v>
      </c>
      <c r="H198" s="27">
        <f>SUMIF(일람표!$A$2:$A$36,C198,일람표!J$2:J$36)</f>
        <v>0</v>
      </c>
      <c r="I198" s="27">
        <f>SUMIF(일람표!$A$2:$A$36,C198,일람표!E$2:E$36)</f>
        <v>0</v>
      </c>
      <c r="J198" s="28"/>
      <c r="K198" s="29"/>
      <c r="L198" s="30"/>
      <c r="M198" s="30"/>
      <c r="N198" s="30"/>
      <c r="O198" s="31"/>
      <c r="P198" s="32">
        <f t="shared" si="17"/>
        <v>0</v>
      </c>
      <c r="Q198" s="33" t="str">
        <f t="shared" si="16"/>
        <v/>
      </c>
      <c r="R198" s="34">
        <f t="shared" si="15"/>
        <v>0</v>
      </c>
      <c r="S198" s="35"/>
      <c r="T198" s="12"/>
    </row>
    <row r="199" spans="1:20" s="54" customFormat="1" ht="13.5" customHeight="1">
      <c r="A199" s="47"/>
      <c r="B199" s="46"/>
      <c r="C199" s="46"/>
      <c r="D199" s="26" t="str">
        <f>IF(A199="","",VLOOKUP($C199,일람표!$A$2:$K$36,11,FALSE))</f>
        <v/>
      </c>
      <c r="E199" s="26" t="str">
        <f>IF(A199="","",VLOOKUP($C199,일람표!$A$2:$J$36,6,FALSE))</f>
        <v/>
      </c>
      <c r="F199" s="26" t="str">
        <f>IF(A199="","",RIGHT(VLOOKUP($C199,일람표!$A$1:$H$36,2,FALSE),5))</f>
        <v/>
      </c>
      <c r="G199" s="27">
        <f>SUMIF(일람표!$A$2:$A$36,C199,일람표!H$2:H$36)</f>
        <v>0</v>
      </c>
      <c r="H199" s="27">
        <f>SUMIF(일람표!$A$2:$A$36,C199,일람표!J$2:J$36)</f>
        <v>0</v>
      </c>
      <c r="I199" s="27">
        <f>SUMIF(일람표!$A$2:$A$36,C199,일람표!E$2:E$36)</f>
        <v>0</v>
      </c>
      <c r="J199" s="28"/>
      <c r="K199" s="29"/>
      <c r="L199" s="30"/>
      <c r="M199" s="30"/>
      <c r="N199" s="30"/>
      <c r="O199" s="31"/>
      <c r="P199" s="32">
        <f t="shared" si="17"/>
        <v>0</v>
      </c>
      <c r="Q199" s="33" t="str">
        <f t="shared" si="16"/>
        <v/>
      </c>
      <c r="R199" s="34">
        <f t="shared" si="15"/>
        <v>0</v>
      </c>
      <c r="S199" s="35"/>
      <c r="T199" s="12"/>
    </row>
    <row r="200" spans="1:20" s="54" customFormat="1" ht="13.5" customHeight="1">
      <c r="A200" s="47"/>
      <c r="B200" s="46"/>
      <c r="C200" s="46"/>
      <c r="D200" s="26" t="str">
        <f>IF(A200="","",VLOOKUP($C200,일람표!$A$2:$K$36,11,FALSE))</f>
        <v/>
      </c>
      <c r="E200" s="26" t="str">
        <f>IF(A200="","",VLOOKUP($C200,일람표!$A$2:$J$36,6,FALSE))</f>
        <v/>
      </c>
      <c r="F200" s="26" t="str">
        <f>IF(A200="","",RIGHT(VLOOKUP($C200,일람표!$A$1:$H$36,2,FALSE),5))</f>
        <v/>
      </c>
      <c r="G200" s="27">
        <f>SUMIF(일람표!$A$2:$A$36,C200,일람표!H$2:H$36)</f>
        <v>0</v>
      </c>
      <c r="H200" s="27">
        <f>SUMIF(일람표!$A$2:$A$36,C200,일람표!J$2:J$36)</f>
        <v>0</v>
      </c>
      <c r="I200" s="27">
        <f>SUMIF(일람표!$A$2:$A$36,C200,일람표!E$2:E$36)</f>
        <v>0</v>
      </c>
      <c r="J200" s="28"/>
      <c r="K200" s="29"/>
      <c r="L200" s="30"/>
      <c r="M200" s="30"/>
      <c r="N200" s="30"/>
      <c r="O200" s="31"/>
      <c r="P200" s="32">
        <f t="shared" si="17"/>
        <v>0</v>
      </c>
      <c r="Q200" s="33" t="str">
        <f t="shared" si="16"/>
        <v/>
      </c>
      <c r="R200" s="34">
        <f t="shared" si="15"/>
        <v>0</v>
      </c>
      <c r="S200" s="35"/>
      <c r="T200" s="12"/>
    </row>
    <row r="201" spans="1:20" s="54" customFormat="1" ht="13.5" customHeight="1">
      <c r="A201" s="47"/>
      <c r="B201" s="46"/>
      <c r="C201" s="46"/>
      <c r="D201" s="26" t="str">
        <f>IF(A201="","",VLOOKUP($C201,일람표!$A$2:$K$36,11,FALSE))</f>
        <v/>
      </c>
      <c r="E201" s="26" t="str">
        <f>IF(A201="","",VLOOKUP($C201,일람표!$A$2:$J$36,6,FALSE))</f>
        <v/>
      </c>
      <c r="F201" s="26" t="str">
        <f>IF(A201="","",RIGHT(VLOOKUP($C201,일람표!$A$1:$H$36,2,FALSE),5))</f>
        <v/>
      </c>
      <c r="G201" s="27">
        <f>SUMIF(일람표!$A$2:$A$36,C201,일람표!H$2:H$36)</f>
        <v>0</v>
      </c>
      <c r="H201" s="27">
        <f>SUMIF(일람표!$A$2:$A$36,C201,일람표!J$2:J$36)</f>
        <v>0</v>
      </c>
      <c r="I201" s="27">
        <f>SUMIF(일람표!$A$2:$A$36,C201,일람표!E$2:E$36)</f>
        <v>0</v>
      </c>
      <c r="J201" s="28"/>
      <c r="K201" s="29"/>
      <c r="L201" s="30"/>
      <c r="M201" s="30"/>
      <c r="N201" s="30"/>
      <c r="O201" s="31"/>
      <c r="P201" s="32">
        <f t="shared" si="17"/>
        <v>0</v>
      </c>
      <c r="Q201" s="33" t="str">
        <f t="shared" si="16"/>
        <v/>
      </c>
      <c r="R201" s="34">
        <f t="shared" si="15"/>
        <v>0</v>
      </c>
      <c r="S201" s="35"/>
      <c r="T201" s="12"/>
    </row>
    <row r="202" spans="1:20" s="54" customFormat="1" ht="13.5" customHeight="1">
      <c r="A202" s="48"/>
      <c r="B202" s="49"/>
      <c r="C202" s="49"/>
      <c r="D202" s="36" t="str">
        <f>IF(A202="","",VLOOKUP($C202,일람표!$A$2:$K$36,11,FALSE))</f>
        <v/>
      </c>
      <c r="E202" s="36" t="str">
        <f>IF(A202="","",VLOOKUP($C202,일람표!$A$2:$J$36,6,FALSE))</f>
        <v/>
      </c>
      <c r="F202" s="36" t="str">
        <f>IF(A202="","",RIGHT(VLOOKUP($C202,일람표!$A$1:$H$36,2,FALSE),5))</f>
        <v/>
      </c>
      <c r="G202" s="37">
        <f>SUMIF(일람표!$A$2:$A$36,C202,일람표!H$2:H$36)</f>
        <v>0</v>
      </c>
      <c r="H202" s="37">
        <f>SUMIF(일람표!$A$2:$A$36,C202,일람표!J$2:J$36)</f>
        <v>0</v>
      </c>
      <c r="I202" s="37">
        <f>SUMIF(일람표!$A$2:$A$36,C202,일람표!E$2:E$36)</f>
        <v>0</v>
      </c>
      <c r="J202" s="38"/>
      <c r="K202" s="39"/>
      <c r="L202" s="40"/>
      <c r="M202" s="40"/>
      <c r="N202" s="40"/>
      <c r="O202" s="41"/>
      <c r="P202" s="42">
        <f t="shared" si="17"/>
        <v>0</v>
      </c>
      <c r="Q202" s="43" t="str">
        <f t="shared" si="16"/>
        <v/>
      </c>
      <c r="R202" s="34">
        <f t="shared" si="15"/>
        <v>0</v>
      </c>
      <c r="S202" s="44"/>
      <c r="T202" s="13"/>
    </row>
    <row r="203" spans="1:20" s="54" customFormat="1">
      <c r="J203" s="71"/>
      <c r="K203" s="71"/>
      <c r="L203" s="71"/>
      <c r="M203" s="71"/>
      <c r="N203" s="71"/>
      <c r="O203" s="71"/>
      <c r="P203" s="71"/>
      <c r="Q203" s="72"/>
      <c r="R203" s="73"/>
    </row>
  </sheetData>
  <autoFilter ref="A14:AG202" xr:uid="{00000000-0001-0000-0000-000000000000}"/>
  <sortState xmlns:xlrd2="http://schemas.microsoft.com/office/spreadsheetml/2017/richdata2" ref="A15:Y29">
    <sortCondition ref="A15:A29"/>
    <sortCondition descending="1" ref="J15:J29"/>
    <sortCondition ref="C15:C29"/>
  </sortState>
  <mergeCells count="35">
    <mergeCell ref="N1:P1"/>
    <mergeCell ref="B5:E5"/>
    <mergeCell ref="B6:E6"/>
    <mergeCell ref="A9:T10"/>
    <mergeCell ref="S11:T11"/>
    <mergeCell ref="N11:N12"/>
    <mergeCell ref="B7:E7"/>
    <mergeCell ref="O11:O12"/>
    <mergeCell ref="P11:P12"/>
    <mergeCell ref="Q11:Q12"/>
    <mergeCell ref="R11:R12"/>
    <mergeCell ref="M11:M12"/>
    <mergeCell ref="L11:L12"/>
    <mergeCell ref="R8:T8"/>
    <mergeCell ref="B8:E8"/>
    <mergeCell ref="F8:H8"/>
    <mergeCell ref="N8:P8"/>
    <mergeCell ref="K8:M8"/>
    <mergeCell ref="A11:A12"/>
    <mergeCell ref="C11:C12"/>
    <mergeCell ref="B11:B12"/>
    <mergeCell ref="D11:I11"/>
    <mergeCell ref="I8:J8"/>
    <mergeCell ref="J11:J12"/>
    <mergeCell ref="K11:K12"/>
    <mergeCell ref="A1:J4"/>
    <mergeCell ref="K1:M1"/>
    <mergeCell ref="K2:K3"/>
    <mergeCell ref="K4:K7"/>
    <mergeCell ref="I5:J5"/>
    <mergeCell ref="I6:J6"/>
    <mergeCell ref="I7:J7"/>
    <mergeCell ref="F5:H5"/>
    <mergeCell ref="F6:H6"/>
    <mergeCell ref="F7:H7"/>
  </mergeCells>
  <phoneticPr fontId="2" type="noConversion"/>
  <conditionalFormatting sqref="H15:H202">
    <cfRule type="cellIs" dxfId="1" priority="1" operator="greaterThan">
      <formula>20</formula>
    </cfRule>
    <cfRule type="cellIs" dxfId="0" priority="2" operator="greaterThan">
      <formula>20</formula>
    </cfRule>
  </conditionalFormatting>
  <dataValidations xWindow="730" yWindow="595" count="1">
    <dataValidation allowBlank="1" showErrorMessage="1" sqref="J15:J202" xr:uid="{2E1646CA-D5E1-428D-85DC-2E2B3A3F302B}"/>
  </dataValidations>
  <printOptions horizontalCentered="1"/>
  <pageMargins left="0.31496062992125984" right="0.31496062992125984" top="0.35433070866141736" bottom="0.19685039370078741" header="0.31496062992125984" footer="0.31496062992125984"/>
  <pageSetup paperSize="9" scale="5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6" r:id="rId4" name="Button 6">
              <controlPr defaultSize="0" print="0" autoFill="0" autoPict="0" macro="[0]!Final_SumAndSort_WithAdvancedSort">
                <anchor moveWithCells="1">
                  <from>
                    <xdr:col>7</xdr:col>
                    <xdr:colOff>45720</xdr:colOff>
                    <xdr:row>0</xdr:row>
                    <xdr:rowOff>106680</xdr:rowOff>
                  </from>
                  <to>
                    <xdr:col>9</xdr:col>
                    <xdr:colOff>678180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114-CFE3-48F0-A35F-8FDA06D0A27C}">
  <sheetPr codeName="Sheet3">
    <pageSetUpPr fitToPage="1"/>
  </sheetPr>
  <dimension ref="A1:AF235"/>
  <sheetViews>
    <sheetView showZeros="0" view="pageBreakPreview" zoomScale="85" zoomScaleNormal="100" zoomScaleSheetLayoutView="85" workbookViewId="0">
      <pane ySplit="14" topLeftCell="A15" activePane="bottomLeft" state="frozen"/>
      <selection pane="bottomLeft" activeCell="B8" sqref="B8:E8"/>
    </sheetView>
  </sheetViews>
  <sheetFormatPr defaultColWidth="8.8984375" defaultRowHeight="17.399999999999999"/>
  <cols>
    <col min="1" max="1" width="18.796875" style="54" customWidth="1"/>
    <col min="2" max="2" width="4.796875" style="54" customWidth="1"/>
    <col min="3" max="3" width="7.796875" style="54" customWidth="1"/>
    <col min="4" max="4" width="5.796875" style="54" customWidth="1"/>
    <col min="5" max="5" width="6.796875" style="54" customWidth="1"/>
    <col min="6" max="6" width="8.796875" style="54" customWidth="1"/>
    <col min="7" max="8" width="5.796875" style="54" customWidth="1"/>
    <col min="9" max="9" width="7.796875" style="54" customWidth="1"/>
    <col min="10" max="10" width="10.796875" style="71" customWidth="1"/>
    <col min="11" max="16" width="5.796875" style="71" customWidth="1"/>
    <col min="17" max="17" width="10.796875" style="72" customWidth="1"/>
    <col min="18" max="18" width="10.796875" style="73" customWidth="1"/>
    <col min="19" max="21" width="9.19921875" style="54" customWidth="1"/>
    <col min="22" max="22" width="11.59765625" style="51" bestFit="1" customWidth="1"/>
    <col min="23" max="23" width="11.59765625" style="51" customWidth="1"/>
    <col min="24" max="24" width="7.59765625" style="51" bestFit="1" customWidth="1"/>
    <col min="25" max="25" width="5.296875" style="51" bestFit="1" customWidth="1"/>
    <col min="26" max="26" width="6.8984375" style="51" bestFit="1" customWidth="1"/>
    <col min="27" max="27" width="5.09765625" style="51" bestFit="1" customWidth="1"/>
    <col min="28" max="31" width="8.69921875" style="51" customWidth="1"/>
    <col min="32" max="33" width="8.69921875" style="51" bestFit="1" customWidth="1"/>
    <col min="34" max="36" width="7.796875" style="51" customWidth="1"/>
    <col min="37" max="16384" width="8.8984375" style="51"/>
  </cols>
  <sheetData>
    <row r="1" spans="1:21" ht="16.5" customHeight="1">
      <c r="A1" s="118" t="s">
        <v>75</v>
      </c>
      <c r="B1" s="119"/>
      <c r="C1" s="119"/>
      <c r="D1" s="119"/>
      <c r="E1" s="119"/>
      <c r="F1" s="119"/>
      <c r="G1" s="119"/>
      <c r="H1" s="119"/>
      <c r="I1" s="119"/>
      <c r="J1" s="119"/>
      <c r="K1" s="122" t="s">
        <v>21</v>
      </c>
      <c r="L1" s="123"/>
      <c r="M1" s="123"/>
      <c r="N1" s="149" t="s">
        <v>56</v>
      </c>
      <c r="O1" s="149"/>
      <c r="P1" s="149"/>
      <c r="Q1" s="78" t="s">
        <v>35</v>
      </c>
      <c r="R1" s="53" t="s">
        <v>36</v>
      </c>
      <c r="S1" s="52" t="s">
        <v>37</v>
      </c>
      <c r="T1" s="174" t="s">
        <v>38</v>
      </c>
      <c r="U1" s="175"/>
    </row>
    <row r="2" spans="1:21">
      <c r="A2" s="118"/>
      <c r="B2" s="119"/>
      <c r="C2" s="119"/>
      <c r="D2" s="119"/>
      <c r="E2" s="119"/>
      <c r="F2" s="119"/>
      <c r="G2" s="119"/>
      <c r="H2" s="119"/>
      <c r="I2" s="119"/>
      <c r="J2" s="119"/>
      <c r="K2" s="173" t="s">
        <v>41</v>
      </c>
      <c r="L2" s="89" t="s">
        <v>29</v>
      </c>
      <c r="M2" s="90" t="s">
        <v>48</v>
      </c>
      <c r="N2" s="91" t="s">
        <v>57</v>
      </c>
      <c r="O2" s="85" t="s">
        <v>58</v>
      </c>
      <c r="P2" s="86" t="s">
        <v>59</v>
      </c>
      <c r="Q2" s="87" t="str">
        <f t="array" aca="1" ref="Q2" ca="1">IFERROR(INDEX($Q$15:$Q$321, MATCH(0, COUNTIF($Q$1:Q1, $Q$15:$Q$321), 0)), "")</f>
        <v>MVS10085-110</v>
      </c>
      <c r="R2" s="55">
        <f t="shared" ref="R2:R7" ca="1" si="0">SUMIF($Q$15:$Q$231,Q2,$R$15:$R$231)</f>
        <v>404.16599999999994</v>
      </c>
      <c r="S2" s="56">
        <f t="shared" ref="S2:S7" ca="1" si="1">SUMIF($Q$15:$Q$231,Q2,$P$15:$P$231)</f>
        <v>308</v>
      </c>
      <c r="T2" s="169"/>
      <c r="U2" s="170"/>
    </row>
    <row r="3" spans="1:21">
      <c r="A3" s="118"/>
      <c r="B3" s="119"/>
      <c r="C3" s="119"/>
      <c r="D3" s="119"/>
      <c r="E3" s="119"/>
      <c r="F3" s="119"/>
      <c r="G3" s="119"/>
      <c r="H3" s="119"/>
      <c r="I3" s="119"/>
      <c r="J3" s="119"/>
      <c r="K3" s="126"/>
      <c r="L3" s="74" t="s">
        <v>30</v>
      </c>
      <c r="M3" s="104" t="s">
        <v>20</v>
      </c>
      <c r="N3" s="105" t="s">
        <v>22</v>
      </c>
      <c r="O3" s="83" t="s">
        <v>60</v>
      </c>
      <c r="P3" s="82" t="s">
        <v>61</v>
      </c>
      <c r="Q3" s="79" t="str">
        <f t="array" aca="1" ref="Q3" ca="1">IFERROR(INDEX($Q$15:$Q$321, MATCH(0, COUNTIF($Q$1:Q2, $Q$15:$Q$321), 0)), "")</f>
        <v>MVS13105-110</v>
      </c>
      <c r="R3" s="58">
        <f t="shared" ca="1" si="0"/>
        <v>158.16</v>
      </c>
      <c r="S3" s="59">
        <f t="shared" ca="1" si="1"/>
        <v>80</v>
      </c>
      <c r="T3" s="169"/>
      <c r="U3" s="170"/>
    </row>
    <row r="4" spans="1:21">
      <c r="A4" s="120"/>
      <c r="B4" s="121"/>
      <c r="C4" s="121"/>
      <c r="D4" s="121"/>
      <c r="E4" s="121"/>
      <c r="F4" s="121"/>
      <c r="G4" s="121"/>
      <c r="H4" s="121"/>
      <c r="I4" s="121"/>
      <c r="J4" s="121"/>
      <c r="K4" s="126" t="s">
        <v>42</v>
      </c>
      <c r="L4" s="74" t="s">
        <v>29</v>
      </c>
      <c r="M4" s="76" t="s">
        <v>16</v>
      </c>
      <c r="N4" s="83" t="s">
        <v>62</v>
      </c>
      <c r="O4" s="83" t="s">
        <v>63</v>
      </c>
      <c r="P4" s="82" t="s">
        <v>64</v>
      </c>
      <c r="Q4" s="79" t="str">
        <f t="array" aca="1" ref="Q4" ca="1">IFERROR(INDEX($Q$15:$Q$321, MATCH(0, COUNTIF($Q$1:Q3, $Q$15:$Q$321), 0)), "")</f>
        <v>MVS13135-110</v>
      </c>
      <c r="R4" s="58">
        <f t="shared" ca="1" si="0"/>
        <v>17.327999999999999</v>
      </c>
      <c r="S4" s="59">
        <f t="shared" ca="1" si="1"/>
        <v>8</v>
      </c>
      <c r="T4" s="169"/>
      <c r="U4" s="170"/>
    </row>
    <row r="5" spans="1:21" ht="18" customHeight="1">
      <c r="A5" s="61" t="s">
        <v>26</v>
      </c>
      <c r="B5" s="150" t="str">
        <f>제작의뢰서!B5</f>
        <v>대우건설</v>
      </c>
      <c r="C5" s="151"/>
      <c r="D5" s="151"/>
      <c r="E5" s="152"/>
      <c r="F5" s="132" t="s">
        <v>28</v>
      </c>
      <c r="G5" s="133"/>
      <c r="H5" s="134"/>
      <c r="I5" s="128">
        <f>제작의뢰서!I5</f>
        <v>46105</v>
      </c>
      <c r="J5" s="129"/>
      <c r="K5" s="126"/>
      <c r="L5" s="74" t="s">
        <v>30</v>
      </c>
      <c r="M5" s="76" t="s">
        <v>45</v>
      </c>
      <c r="N5" s="81" t="s">
        <v>65</v>
      </c>
      <c r="O5" s="81" t="s">
        <v>66</v>
      </c>
      <c r="P5" s="82" t="s">
        <v>67</v>
      </c>
      <c r="Q5" s="79" t="str">
        <f t="array" aca="1" ref="Q5" ca="1">IFERROR(INDEX($Q$15:$Q$321, MATCH(0, COUNTIF($Q$1:Q4, $Q$15:$Q$321), 0)), "")</f>
        <v/>
      </c>
      <c r="R5" s="58">
        <f t="shared" ca="1" si="0"/>
        <v>0</v>
      </c>
      <c r="S5" s="59">
        <f t="shared" ca="1" si="1"/>
        <v>0</v>
      </c>
      <c r="T5" s="169"/>
      <c r="U5" s="170"/>
    </row>
    <row r="6" spans="1:21" ht="18" customHeight="1">
      <c r="A6" s="61" t="s">
        <v>25</v>
      </c>
      <c r="B6" s="150" t="str">
        <f>제작의뢰서!B6</f>
        <v>식사푸르지오 파크센트</v>
      </c>
      <c r="C6" s="151"/>
      <c r="D6" s="151"/>
      <c r="E6" s="152"/>
      <c r="F6" s="132" t="s">
        <v>27</v>
      </c>
      <c r="G6" s="133"/>
      <c r="H6" s="134"/>
      <c r="I6" s="130" t="str">
        <f>제작의뢰서!I6</f>
        <v>슬리퍼</v>
      </c>
      <c r="J6" s="131"/>
      <c r="K6" s="126"/>
      <c r="L6" s="74" t="s">
        <v>43</v>
      </c>
      <c r="M6" s="76" t="s">
        <v>46</v>
      </c>
      <c r="N6" s="81" t="s">
        <v>68</v>
      </c>
      <c r="O6" s="81" t="s">
        <v>69</v>
      </c>
      <c r="P6" s="82" t="s">
        <v>70</v>
      </c>
      <c r="Q6" s="79">
        <f t="array" aca="1" ref="Q6" ca="1">IFERROR(INDEX($Q$15:$Q$321, MATCH(0, COUNTIF($Q$1:Q5, $Q$15:$Q$321), 0)), "")</f>
        <v>0</v>
      </c>
      <c r="R6" s="58">
        <f t="shared" ca="1" si="0"/>
        <v>0</v>
      </c>
      <c r="S6" s="59">
        <f t="shared" ca="1" si="1"/>
        <v>0</v>
      </c>
      <c r="T6" s="169"/>
      <c r="U6" s="170"/>
    </row>
    <row r="7" spans="1:21" ht="18" customHeight="1">
      <c r="A7" s="61" t="s">
        <v>74</v>
      </c>
      <c r="B7" s="150" t="str">
        <f>제작의뢰서!B7</f>
        <v>권혜유 사원</v>
      </c>
      <c r="C7" s="151"/>
      <c r="D7" s="151"/>
      <c r="E7" s="152"/>
      <c r="F7" s="132" t="s">
        <v>52</v>
      </c>
      <c r="G7" s="133"/>
      <c r="H7" s="134"/>
      <c r="I7" s="130" t="str">
        <f>제작의뢰서!I7</f>
        <v>O</v>
      </c>
      <c r="J7" s="131"/>
      <c r="K7" s="127"/>
      <c r="L7" s="75" t="s">
        <v>44</v>
      </c>
      <c r="M7" s="77" t="s">
        <v>47</v>
      </c>
      <c r="N7" s="6" t="s">
        <v>71</v>
      </c>
      <c r="O7" s="6" t="s">
        <v>72</v>
      </c>
      <c r="P7" s="84" t="s">
        <v>73</v>
      </c>
      <c r="Q7" s="80" t="str">
        <f t="array" aca="1" ref="Q7" ca="1">IFERROR(INDEX($Q$15:$Q$321, MATCH(0, COUNTIF($Q$1:Q6, $Q$15:$Q$321), 0)), "")</f>
        <v/>
      </c>
      <c r="R7" s="62">
        <f t="shared" ca="1" si="0"/>
        <v>0</v>
      </c>
      <c r="S7" s="63">
        <f t="shared" ca="1" si="1"/>
        <v>0</v>
      </c>
      <c r="T7" s="171"/>
      <c r="U7" s="172"/>
    </row>
    <row r="8" spans="1:21" ht="18" customHeight="1">
      <c r="A8" s="61" t="s">
        <v>24</v>
      </c>
      <c r="B8" s="150" t="str">
        <f>제작의뢰서!B8</f>
        <v>0309-13~15-GHY</v>
      </c>
      <c r="C8" s="151"/>
      <c r="D8" s="151"/>
      <c r="E8" s="152"/>
      <c r="F8" s="132" t="s">
        <v>51</v>
      </c>
      <c r="G8" s="133"/>
      <c r="H8" s="134"/>
      <c r="I8" s="130" t="str">
        <f>제작의뢰서!I8</f>
        <v>O</v>
      </c>
      <c r="J8" s="177"/>
      <c r="K8" s="136" t="s">
        <v>40</v>
      </c>
      <c r="L8" s="137"/>
      <c r="M8" s="138"/>
      <c r="N8" s="135">
        <f ca="1">SUM(K15:O231)</f>
        <v>396</v>
      </c>
      <c r="O8" s="135"/>
      <c r="P8" s="135"/>
      <c r="Q8" s="65" t="s">
        <v>0</v>
      </c>
      <c r="R8" s="168">
        <f ca="1">SUM(R15:R231)</f>
        <v>579.65399999999988</v>
      </c>
      <c r="S8" s="168"/>
      <c r="T8" s="176"/>
    </row>
    <row r="9" spans="1:21" ht="18" customHeight="1">
      <c r="A9" s="153" t="s">
        <v>53</v>
      </c>
      <c r="B9" s="154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</row>
    <row r="10" spans="1:21" ht="18" customHeight="1" thickBot="1">
      <c r="A10" s="156"/>
      <c r="B10" s="157"/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</row>
    <row r="11" spans="1:21" ht="16.5" customHeight="1">
      <c r="A11" s="139" t="s">
        <v>1</v>
      </c>
      <c r="B11" s="143" t="s">
        <v>49</v>
      </c>
      <c r="C11" s="141" t="s">
        <v>50</v>
      </c>
      <c r="D11" s="144" t="s">
        <v>2</v>
      </c>
      <c r="E11" s="145"/>
      <c r="F11" s="145"/>
      <c r="G11" s="145"/>
      <c r="H11" s="145"/>
      <c r="I11" s="146"/>
      <c r="J11" s="147" t="s">
        <v>54</v>
      </c>
      <c r="K11" s="147" t="s">
        <v>32</v>
      </c>
      <c r="L11" s="147" t="s">
        <v>3</v>
      </c>
      <c r="M11" s="147" t="s">
        <v>4</v>
      </c>
      <c r="N11" s="147" t="s">
        <v>5</v>
      </c>
      <c r="O11" s="160" t="s">
        <v>19</v>
      </c>
      <c r="P11" s="162" t="s">
        <v>39</v>
      </c>
      <c r="Q11" s="164" t="s">
        <v>34</v>
      </c>
      <c r="R11" s="166" t="s">
        <v>7</v>
      </c>
      <c r="S11" s="178" t="s">
        <v>80</v>
      </c>
      <c r="T11" s="181" t="s">
        <v>81</v>
      </c>
      <c r="U11" s="181" t="s">
        <v>83</v>
      </c>
    </row>
    <row r="12" spans="1:21" ht="16.5" customHeight="1">
      <c r="A12" s="140"/>
      <c r="B12" s="142"/>
      <c r="C12" s="142"/>
      <c r="D12" s="50" t="s">
        <v>32</v>
      </c>
      <c r="E12" s="50" t="s">
        <v>23</v>
      </c>
      <c r="F12" s="50" t="s">
        <v>31</v>
      </c>
      <c r="G12" s="50" t="s">
        <v>33</v>
      </c>
      <c r="H12" s="50" t="s">
        <v>8</v>
      </c>
      <c r="I12" s="66" t="s">
        <v>55</v>
      </c>
      <c r="J12" s="148"/>
      <c r="K12" s="148"/>
      <c r="L12" s="148"/>
      <c r="M12" s="148"/>
      <c r="N12" s="148"/>
      <c r="O12" s="161"/>
      <c r="P12" s="163"/>
      <c r="Q12" s="165"/>
      <c r="R12" s="167"/>
      <c r="S12" s="179"/>
      <c r="T12" s="182"/>
      <c r="U12" s="182"/>
    </row>
    <row r="13" spans="1:21" s="70" customFormat="1">
      <c r="A13" s="14"/>
      <c r="B13" s="14"/>
      <c r="C13" s="14"/>
      <c r="D13" s="14"/>
      <c r="E13" s="14"/>
      <c r="F13" s="14"/>
      <c r="G13" s="14"/>
      <c r="H13" s="14"/>
      <c r="I13" s="14"/>
      <c r="J13" s="15"/>
      <c r="K13" s="16">
        <f t="shared" ref="K13:P13" ca="1" si="2">SUBTOTAL(9,K15:K3344)</f>
        <v>0</v>
      </c>
      <c r="L13" s="16">
        <f t="shared" ca="1" si="2"/>
        <v>2</v>
      </c>
      <c r="M13" s="16">
        <f t="shared" ca="1" si="2"/>
        <v>4</v>
      </c>
      <c r="N13" s="16">
        <f t="shared" ca="1" si="2"/>
        <v>0</v>
      </c>
      <c r="O13" s="16">
        <f t="shared" ca="1" si="2"/>
        <v>390</v>
      </c>
      <c r="P13" s="16">
        <f t="shared" ca="1" si="2"/>
        <v>396</v>
      </c>
      <c r="Q13" s="17"/>
      <c r="R13" s="10">
        <f ca="1">SUBTOTAL(9,R15:R3344)</f>
        <v>579.65399999999988</v>
      </c>
      <c r="S13" s="18"/>
      <c r="T13" s="18"/>
      <c r="U13" s="69"/>
    </row>
    <row r="14" spans="1:21" s="70" customFormat="1" ht="13.5" customHeight="1">
      <c r="A14" s="19"/>
      <c r="B14" s="19"/>
      <c r="C14" s="19"/>
      <c r="D14" s="19"/>
      <c r="E14" s="19"/>
      <c r="F14" s="19"/>
      <c r="G14" s="19"/>
      <c r="H14" s="19"/>
      <c r="I14" s="19"/>
      <c r="J14" s="95"/>
      <c r="K14" s="96"/>
      <c r="L14" s="96"/>
      <c r="M14" s="96"/>
      <c r="N14" s="96"/>
      <c r="O14" s="96"/>
      <c r="P14" s="96"/>
      <c r="Q14" s="97"/>
      <c r="R14" s="98"/>
      <c r="S14" s="99"/>
      <c r="T14" s="99"/>
      <c r="U14" s="69"/>
    </row>
    <row r="15" spans="1:21" ht="13.5" customHeight="1">
      <c r="A15" s="45" t="str">
        <f ca="1">IF(INDIRECT("제작의뢰서!"&amp;ADDRESS(ROW(),COLUMN()))="","",INDIRECT("제작의뢰서!"&amp;ADDRESS(ROW(),COLUMN())))</f>
        <v>B-1</v>
      </c>
      <c r="B15" s="45">
        <f t="shared" ref="B15:T28" ca="1" si="3">IF(INDIRECT("제작의뢰서!"&amp;ADDRESS(ROW(),COLUMN()))="","",INDIRECT("제작의뢰서!"&amp;ADDRESS(ROW(),COLUMN())))</f>
        <v>13</v>
      </c>
      <c r="C15" s="45" t="str">
        <f t="shared" ca="1" si="3"/>
        <v>DS1</v>
      </c>
      <c r="D15" s="102" t="str">
        <f t="shared" ca="1" si="3"/>
        <v>A</v>
      </c>
      <c r="E15" s="102" t="str">
        <f t="shared" ca="1" si="3"/>
        <v>MVS</v>
      </c>
      <c r="F15" s="102" t="str">
        <f t="shared" ca="1" si="3"/>
        <v>10085</v>
      </c>
      <c r="G15" s="102">
        <f t="shared" ca="1" si="3"/>
        <v>110</v>
      </c>
      <c r="H15" s="102">
        <f t="shared" ca="1" si="3"/>
        <v>30</v>
      </c>
      <c r="I15" s="102">
        <f t="shared" ca="1" si="3"/>
        <v>200</v>
      </c>
      <c r="J15" s="103">
        <f t="shared" ca="1" si="3"/>
        <v>2590</v>
      </c>
      <c r="K15" s="103" t="str">
        <f t="shared" ca="1" si="3"/>
        <v/>
      </c>
      <c r="L15" s="103" t="str">
        <f t="shared" ca="1" si="3"/>
        <v/>
      </c>
      <c r="M15" s="103" t="str">
        <f t="shared" ca="1" si="3"/>
        <v/>
      </c>
      <c r="N15" s="103" t="str">
        <f t="shared" ca="1" si="3"/>
        <v/>
      </c>
      <c r="O15" s="103">
        <f t="shared" ca="1" si="3"/>
        <v>13</v>
      </c>
      <c r="P15" s="102">
        <f t="shared" ca="1" si="3"/>
        <v>13</v>
      </c>
      <c r="Q15" s="102" t="str">
        <f t="shared" ca="1" si="3"/>
        <v>MVS10085-110</v>
      </c>
      <c r="R15" s="92">
        <f t="shared" ca="1" si="3"/>
        <v>20.202000000000002</v>
      </c>
      <c r="S15" s="92" t="str">
        <f t="shared" ca="1" si="3"/>
        <v/>
      </c>
      <c r="T15" s="92" t="str">
        <f t="shared" ca="1" si="3"/>
        <v/>
      </c>
      <c r="U15" s="68"/>
    </row>
    <row r="16" spans="1:21" ht="13.5" customHeight="1">
      <c r="A16" s="45" t="str">
        <f t="shared" ref="A16:P44" ca="1" si="4">IF(INDIRECT("제작의뢰서!"&amp;ADDRESS(ROW(),COLUMN()))="","",INDIRECT("제작의뢰서!"&amp;ADDRESS(ROW(),COLUMN())))</f>
        <v>B-1</v>
      </c>
      <c r="B16" s="45">
        <f t="shared" ca="1" si="3"/>
        <v>6</v>
      </c>
      <c r="C16" s="45" t="str">
        <f t="shared" ca="1" si="3"/>
        <v>DS1</v>
      </c>
      <c r="D16" s="102" t="str">
        <f t="shared" ca="1" si="3"/>
        <v>A</v>
      </c>
      <c r="E16" s="102" t="str">
        <f t="shared" ca="1" si="3"/>
        <v>MVS</v>
      </c>
      <c r="F16" s="102" t="str">
        <f t="shared" ca="1" si="3"/>
        <v>10085</v>
      </c>
      <c r="G16" s="102">
        <f t="shared" ca="1" si="3"/>
        <v>110</v>
      </c>
      <c r="H16" s="102">
        <f t="shared" ca="1" si="3"/>
        <v>30</v>
      </c>
      <c r="I16" s="102">
        <f t="shared" ca="1" si="3"/>
        <v>200</v>
      </c>
      <c r="J16" s="103">
        <f t="shared" ca="1" si="3"/>
        <v>2250</v>
      </c>
      <c r="K16" s="103" t="str">
        <f t="shared" ca="1" si="3"/>
        <v/>
      </c>
      <c r="L16" s="103" t="str">
        <f t="shared" ca="1" si="3"/>
        <v/>
      </c>
      <c r="M16" s="103" t="str">
        <f t="shared" ca="1" si="3"/>
        <v/>
      </c>
      <c r="N16" s="103" t="str">
        <f t="shared" ca="1" si="3"/>
        <v/>
      </c>
      <c r="O16" s="103">
        <f t="shared" ca="1" si="3"/>
        <v>11</v>
      </c>
      <c r="P16" s="102">
        <f t="shared" ca="1" si="3"/>
        <v>11</v>
      </c>
      <c r="Q16" s="102" t="str">
        <f t="shared" ca="1" si="3"/>
        <v>MVS10085-110</v>
      </c>
      <c r="R16" s="92">
        <f t="shared" ca="1" si="3"/>
        <v>14.85</v>
      </c>
      <c r="S16" s="92" t="str">
        <f t="shared" ca="1" si="3"/>
        <v/>
      </c>
      <c r="T16" s="92" t="str">
        <f t="shared" ca="1" si="3"/>
        <v/>
      </c>
      <c r="U16" s="68"/>
    </row>
    <row r="17" spans="1:21" ht="13.5" customHeight="1">
      <c r="A17" s="45" t="str">
        <f t="shared" ca="1" si="4"/>
        <v>B-1</v>
      </c>
      <c r="B17" s="45">
        <f t="shared" ca="1" si="3"/>
        <v>7</v>
      </c>
      <c r="C17" s="45" t="str">
        <f t="shared" ca="1" si="3"/>
        <v>DS1</v>
      </c>
      <c r="D17" s="102" t="str">
        <f t="shared" ca="1" si="3"/>
        <v>A</v>
      </c>
      <c r="E17" s="102" t="str">
        <f t="shared" ca="1" si="3"/>
        <v>MVS</v>
      </c>
      <c r="F17" s="102" t="str">
        <f t="shared" ca="1" si="3"/>
        <v>10085</v>
      </c>
      <c r="G17" s="102">
        <f t="shared" ca="1" si="3"/>
        <v>110</v>
      </c>
      <c r="H17" s="102">
        <f t="shared" ca="1" si="3"/>
        <v>30</v>
      </c>
      <c r="I17" s="102">
        <f t="shared" ca="1" si="3"/>
        <v>200</v>
      </c>
      <c r="J17" s="103">
        <f t="shared" ca="1" si="3"/>
        <v>2160</v>
      </c>
      <c r="K17" s="103" t="str">
        <f t="shared" ca="1" si="3"/>
        <v/>
      </c>
      <c r="L17" s="103" t="str">
        <f t="shared" ca="1" si="3"/>
        <v/>
      </c>
      <c r="M17" s="103" t="str">
        <f t="shared" ca="1" si="3"/>
        <v/>
      </c>
      <c r="N17" s="103" t="str">
        <f t="shared" ca="1" si="3"/>
        <v/>
      </c>
      <c r="O17" s="103">
        <f t="shared" ca="1" si="3"/>
        <v>24</v>
      </c>
      <c r="P17" s="102">
        <f t="shared" ca="1" si="3"/>
        <v>24</v>
      </c>
      <c r="Q17" s="102" t="str">
        <f t="shared" ca="1" si="3"/>
        <v>MVS10085-110</v>
      </c>
      <c r="R17" s="92">
        <f t="shared" ca="1" si="3"/>
        <v>31.103999999999999</v>
      </c>
      <c r="S17" s="92" t="str">
        <f t="shared" ca="1" si="3"/>
        <v/>
      </c>
      <c r="T17" s="92" t="str">
        <f t="shared" ca="1" si="3"/>
        <v/>
      </c>
    </row>
    <row r="18" spans="1:21" ht="13.5" customHeight="1">
      <c r="A18" s="45" t="str">
        <f t="shared" ca="1" si="4"/>
        <v>B-2</v>
      </c>
      <c r="B18" s="45">
        <f t="shared" ca="1" si="3"/>
        <v>11</v>
      </c>
      <c r="C18" s="45" t="str">
        <f t="shared" ca="1" si="3"/>
        <v>DS1</v>
      </c>
      <c r="D18" s="102" t="str">
        <f t="shared" ca="1" si="3"/>
        <v>A</v>
      </c>
      <c r="E18" s="102" t="str">
        <f t="shared" ca="1" si="3"/>
        <v>MVS</v>
      </c>
      <c r="F18" s="102" t="str">
        <f t="shared" ca="1" si="3"/>
        <v>10085</v>
      </c>
      <c r="G18" s="102">
        <f t="shared" ca="1" si="3"/>
        <v>110</v>
      </c>
      <c r="H18" s="102">
        <f t="shared" ca="1" si="3"/>
        <v>30</v>
      </c>
      <c r="I18" s="102">
        <f t="shared" ca="1" si="3"/>
        <v>200</v>
      </c>
      <c r="J18" s="103">
        <f t="shared" ca="1" si="3"/>
        <v>2160</v>
      </c>
      <c r="K18" s="103" t="str">
        <f t="shared" ca="1" si="3"/>
        <v/>
      </c>
      <c r="L18" s="103" t="str">
        <f t="shared" ca="1" si="3"/>
        <v/>
      </c>
      <c r="M18" s="103" t="str">
        <f t="shared" ca="1" si="3"/>
        <v/>
      </c>
      <c r="N18" s="103" t="str">
        <f t="shared" ca="1" si="3"/>
        <v/>
      </c>
      <c r="O18" s="103">
        <f t="shared" ca="1" si="3"/>
        <v>52</v>
      </c>
      <c r="P18" s="102">
        <f t="shared" ca="1" si="3"/>
        <v>52</v>
      </c>
      <c r="Q18" s="102" t="str">
        <f t="shared" ca="1" si="3"/>
        <v>MVS10085-110</v>
      </c>
      <c r="R18" s="92">
        <f t="shared" ca="1" si="3"/>
        <v>67.391999999999996</v>
      </c>
      <c r="S18" s="92" t="str">
        <f t="shared" ca="1" si="3"/>
        <v/>
      </c>
      <c r="T18" s="92" t="str">
        <f t="shared" ca="1" si="3"/>
        <v/>
      </c>
      <c r="U18" s="68"/>
    </row>
    <row r="19" spans="1:21" ht="13.5" customHeight="1">
      <c r="A19" s="45" t="str">
        <f t="shared" ca="1" si="4"/>
        <v>B-3</v>
      </c>
      <c r="B19" s="45">
        <f t="shared" ca="1" si="3"/>
        <v>21</v>
      </c>
      <c r="C19" s="45" t="str">
        <f t="shared" ca="1" si="3"/>
        <v>DS1</v>
      </c>
      <c r="D19" s="102" t="str">
        <f t="shared" ca="1" si="3"/>
        <v>A</v>
      </c>
      <c r="E19" s="102" t="str">
        <f t="shared" ca="1" si="3"/>
        <v>MVS</v>
      </c>
      <c r="F19" s="102" t="str">
        <f t="shared" ca="1" si="3"/>
        <v>10085</v>
      </c>
      <c r="G19" s="102">
        <f t="shared" ca="1" si="3"/>
        <v>110</v>
      </c>
      <c r="H19" s="102">
        <f t="shared" ca="1" si="3"/>
        <v>30</v>
      </c>
      <c r="I19" s="102">
        <f t="shared" ca="1" si="3"/>
        <v>200</v>
      </c>
      <c r="J19" s="103">
        <f t="shared" ca="1" si="3"/>
        <v>2160</v>
      </c>
      <c r="K19" s="103" t="str">
        <f t="shared" ca="1" si="3"/>
        <v/>
      </c>
      <c r="L19" s="103" t="str">
        <f t="shared" ca="1" si="3"/>
        <v/>
      </c>
      <c r="M19" s="103">
        <f t="shared" ca="1" si="3"/>
        <v>1</v>
      </c>
      <c r="N19" s="103" t="str">
        <f t="shared" ca="1" si="3"/>
        <v/>
      </c>
      <c r="O19" s="103">
        <f t="shared" ca="1" si="3"/>
        <v>22</v>
      </c>
      <c r="P19" s="102">
        <f t="shared" ca="1" si="3"/>
        <v>23</v>
      </c>
      <c r="Q19" s="102" t="str">
        <f t="shared" ca="1" si="3"/>
        <v>MVS10085-110</v>
      </c>
      <c r="R19" s="92">
        <f t="shared" ca="1" si="3"/>
        <v>29.808</v>
      </c>
      <c r="S19" s="92" t="str">
        <f t="shared" ca="1" si="3"/>
        <v/>
      </c>
      <c r="T19" s="92" t="str">
        <f t="shared" ca="1" si="3"/>
        <v/>
      </c>
      <c r="U19" s="68"/>
    </row>
    <row r="20" spans="1:21" ht="13.5" customHeight="1">
      <c r="A20" s="45" t="str">
        <f t="shared" ca="1" si="4"/>
        <v>B-3</v>
      </c>
      <c r="B20" s="45">
        <f t="shared" ca="1" si="3"/>
        <v>25</v>
      </c>
      <c r="C20" s="45" t="str">
        <f t="shared" ca="1" si="3"/>
        <v>DS1</v>
      </c>
      <c r="D20" s="102" t="str">
        <f t="shared" ca="1" si="3"/>
        <v>A</v>
      </c>
      <c r="E20" s="102" t="str">
        <f t="shared" ca="1" si="3"/>
        <v>MVS</v>
      </c>
      <c r="F20" s="102" t="str">
        <f t="shared" ca="1" si="3"/>
        <v>10085</v>
      </c>
      <c r="G20" s="102">
        <f t="shared" ca="1" si="3"/>
        <v>110</v>
      </c>
      <c r="H20" s="102">
        <f t="shared" ca="1" si="3"/>
        <v>30</v>
      </c>
      <c r="I20" s="102">
        <f t="shared" ca="1" si="3"/>
        <v>200</v>
      </c>
      <c r="J20" s="103">
        <f t="shared" ca="1" si="3"/>
        <v>2060</v>
      </c>
      <c r="K20" s="103" t="str">
        <f t="shared" ca="1" si="3"/>
        <v/>
      </c>
      <c r="L20" s="103" t="str">
        <f t="shared" ca="1" si="3"/>
        <v/>
      </c>
      <c r="M20" s="103">
        <f t="shared" ca="1" si="3"/>
        <v>1</v>
      </c>
      <c r="N20" s="103" t="str">
        <f t="shared" ca="1" si="3"/>
        <v/>
      </c>
      <c r="O20" s="103">
        <f t="shared" ca="1" si="3"/>
        <v>9</v>
      </c>
      <c r="P20" s="102">
        <f t="shared" ca="1" si="3"/>
        <v>10</v>
      </c>
      <c r="Q20" s="102" t="str">
        <f t="shared" ca="1" si="3"/>
        <v>MVS10085-110</v>
      </c>
      <c r="R20" s="92">
        <f t="shared" ca="1" si="3"/>
        <v>12.36</v>
      </c>
      <c r="S20" s="92" t="str">
        <f t="shared" ca="1" si="3"/>
        <v/>
      </c>
      <c r="T20" s="92" t="str">
        <f t="shared" ca="1" si="3"/>
        <v/>
      </c>
      <c r="U20" s="68"/>
    </row>
    <row r="21" spans="1:21" s="54" customFormat="1" ht="13.5" customHeight="1">
      <c r="A21" s="45" t="str">
        <f t="shared" ca="1" si="4"/>
        <v>B-4</v>
      </c>
      <c r="B21" s="45">
        <f t="shared" ca="1" si="3"/>
        <v>29</v>
      </c>
      <c r="C21" s="45" t="str">
        <f t="shared" ca="1" si="3"/>
        <v>DS2</v>
      </c>
      <c r="D21" s="102" t="str">
        <f t="shared" ca="1" si="3"/>
        <v>A</v>
      </c>
      <c r="E21" s="102" t="str">
        <f t="shared" ca="1" si="3"/>
        <v>MVS</v>
      </c>
      <c r="F21" s="102" t="str">
        <f t="shared" ca="1" si="3"/>
        <v>13105</v>
      </c>
      <c r="G21" s="102">
        <f t="shared" ca="1" si="3"/>
        <v>110</v>
      </c>
      <c r="H21" s="102">
        <f t="shared" ca="1" si="3"/>
        <v>30</v>
      </c>
      <c r="I21" s="102">
        <f t="shared" ca="1" si="3"/>
        <v>200</v>
      </c>
      <c r="J21" s="103">
        <f t="shared" ca="1" si="3"/>
        <v>3110</v>
      </c>
      <c r="K21" s="103" t="str">
        <f t="shared" ca="1" si="3"/>
        <v/>
      </c>
      <c r="L21" s="103">
        <f t="shared" ca="1" si="3"/>
        <v>2</v>
      </c>
      <c r="M21" s="103" t="str">
        <f t="shared" ca="1" si="3"/>
        <v/>
      </c>
      <c r="N21" s="103" t="str">
        <f t="shared" ca="1" si="3"/>
        <v/>
      </c>
      <c r="O21" s="103">
        <f t="shared" ca="1" si="3"/>
        <v>18</v>
      </c>
      <c r="P21" s="102">
        <f t="shared" ca="1" si="3"/>
        <v>20</v>
      </c>
      <c r="Q21" s="102" t="str">
        <f t="shared" ca="1" si="3"/>
        <v>MVS13105-110</v>
      </c>
      <c r="R21" s="92">
        <f t="shared" ca="1" si="3"/>
        <v>37.32</v>
      </c>
      <c r="S21" s="92" t="str">
        <f t="shared" ca="1" si="3"/>
        <v/>
      </c>
      <c r="T21" s="92" t="str">
        <f t="shared" ca="1" si="3"/>
        <v/>
      </c>
      <c r="U21" s="68"/>
    </row>
    <row r="22" spans="1:21" s="54" customFormat="1" ht="13.5" customHeight="1">
      <c r="A22" s="45" t="str">
        <f t="shared" ca="1" si="4"/>
        <v>B-4</v>
      </c>
      <c r="B22" s="45">
        <f t="shared" ca="1" si="3"/>
        <v>1</v>
      </c>
      <c r="C22" s="45" t="str">
        <f t="shared" ca="1" si="3"/>
        <v>DS2</v>
      </c>
      <c r="D22" s="102" t="str">
        <f t="shared" ca="1" si="3"/>
        <v>A</v>
      </c>
      <c r="E22" s="102" t="str">
        <f t="shared" ca="1" si="3"/>
        <v>MVS</v>
      </c>
      <c r="F22" s="102" t="str">
        <f t="shared" ca="1" si="3"/>
        <v>13105</v>
      </c>
      <c r="G22" s="102">
        <f t="shared" ca="1" si="3"/>
        <v>110</v>
      </c>
      <c r="H22" s="102">
        <f t="shared" ca="1" si="3"/>
        <v>30</v>
      </c>
      <c r="I22" s="92">
        <f t="shared" ca="1" si="3"/>
        <v>200</v>
      </c>
      <c r="J22" s="45">
        <f t="shared" ca="1" si="3"/>
        <v>3010</v>
      </c>
      <c r="K22" s="45" t="str">
        <f t="shared" ca="1" si="3"/>
        <v/>
      </c>
      <c r="L22" s="45" t="str">
        <f t="shared" ca="1" si="3"/>
        <v/>
      </c>
      <c r="M22" s="45" t="str">
        <f t="shared" ca="1" si="3"/>
        <v/>
      </c>
      <c r="N22" s="45" t="str">
        <f t="shared" ca="1" si="3"/>
        <v/>
      </c>
      <c r="O22" s="45">
        <f t="shared" ca="1" si="3"/>
        <v>8</v>
      </c>
      <c r="P22" s="92">
        <f t="shared" ca="1" si="3"/>
        <v>8</v>
      </c>
      <c r="Q22" s="92" t="str">
        <f t="shared" ca="1" si="3"/>
        <v>MVS13105-110</v>
      </c>
      <c r="R22" s="92">
        <f t="shared" ca="1" si="3"/>
        <v>14.448</v>
      </c>
      <c r="S22" s="92" t="str">
        <f t="shared" ca="1" si="3"/>
        <v/>
      </c>
      <c r="T22" s="92" t="str">
        <f t="shared" ca="1" si="3"/>
        <v/>
      </c>
      <c r="U22" s="68"/>
    </row>
    <row r="23" spans="1:21" s="54" customFormat="1" ht="13.5" customHeight="1">
      <c r="A23" s="45" t="str">
        <f t="shared" ca="1" si="4"/>
        <v>B-5</v>
      </c>
      <c r="B23" s="45">
        <f t="shared" ca="1" si="3"/>
        <v>35</v>
      </c>
      <c r="C23" s="45" t="str">
        <f t="shared" ca="1" si="3"/>
        <v>DS2</v>
      </c>
      <c r="D23" s="102" t="str">
        <f t="shared" ca="1" si="3"/>
        <v>A</v>
      </c>
      <c r="E23" s="102" t="str">
        <f t="shared" ca="1" si="3"/>
        <v>MVS</v>
      </c>
      <c r="F23" s="102" t="str">
        <f t="shared" ca="1" si="3"/>
        <v>13105</v>
      </c>
      <c r="G23" s="102">
        <f t="shared" ca="1" si="3"/>
        <v>110</v>
      </c>
      <c r="H23" s="102">
        <f t="shared" ca="1" si="3"/>
        <v>30</v>
      </c>
      <c r="I23" s="92">
        <f t="shared" ca="1" si="3"/>
        <v>200</v>
      </c>
      <c r="J23" s="45">
        <f t="shared" ca="1" si="3"/>
        <v>3410</v>
      </c>
      <c r="K23" s="45" t="str">
        <f t="shared" ca="1" si="3"/>
        <v/>
      </c>
      <c r="L23" s="45" t="str">
        <f t="shared" ca="1" si="3"/>
        <v/>
      </c>
      <c r="M23" s="45" t="str">
        <f t="shared" ca="1" si="3"/>
        <v/>
      </c>
      <c r="N23" s="45" t="str">
        <f t="shared" ca="1" si="3"/>
        <v/>
      </c>
      <c r="O23" s="45">
        <f t="shared" ca="1" si="3"/>
        <v>52</v>
      </c>
      <c r="P23" s="92">
        <f t="shared" ca="1" si="3"/>
        <v>52</v>
      </c>
      <c r="Q23" s="92" t="str">
        <f t="shared" ca="1" si="3"/>
        <v>MVS13105-110</v>
      </c>
      <c r="R23" s="92">
        <f t="shared" ca="1" si="3"/>
        <v>106.392</v>
      </c>
      <c r="S23" s="92" t="str">
        <f t="shared" ca="1" si="3"/>
        <v/>
      </c>
      <c r="T23" s="92" t="str">
        <f t="shared" ca="1" si="3"/>
        <v/>
      </c>
      <c r="U23" s="68"/>
    </row>
    <row r="24" spans="1:21" s="54" customFormat="1" ht="13.5" customHeight="1">
      <c r="A24" s="45" t="str">
        <f t="shared" ca="1" si="4"/>
        <v>B-6</v>
      </c>
      <c r="B24" s="45">
        <f t="shared" ca="1" si="3"/>
        <v>31</v>
      </c>
      <c r="C24" s="45" t="str">
        <f t="shared" ca="1" si="3"/>
        <v>DS3</v>
      </c>
      <c r="D24" s="102" t="str">
        <f t="shared" ca="1" si="3"/>
        <v>A</v>
      </c>
      <c r="E24" s="102" t="str">
        <f t="shared" ca="1" si="3"/>
        <v>MVS</v>
      </c>
      <c r="F24" s="102" t="str">
        <f t="shared" ca="1" si="3"/>
        <v>13135</v>
      </c>
      <c r="G24" s="102">
        <f t="shared" ca="1" si="3"/>
        <v>110</v>
      </c>
      <c r="H24" s="102">
        <f t="shared" ca="1" si="3"/>
        <v>30</v>
      </c>
      <c r="I24" s="92">
        <f t="shared" ca="1" si="3"/>
        <v>200</v>
      </c>
      <c r="J24" s="45">
        <f t="shared" ca="1" si="3"/>
        <v>3610</v>
      </c>
      <c r="K24" s="45" t="str">
        <f t="shared" ca="1" si="3"/>
        <v/>
      </c>
      <c r="L24" s="45" t="str">
        <f t="shared" ca="1" si="3"/>
        <v/>
      </c>
      <c r="M24" s="45" t="str">
        <f t="shared" ca="1" si="3"/>
        <v/>
      </c>
      <c r="N24" s="45" t="str">
        <f t="shared" ca="1" si="3"/>
        <v/>
      </c>
      <c r="O24" s="45">
        <f t="shared" ca="1" si="3"/>
        <v>8</v>
      </c>
      <c r="P24" s="92">
        <f t="shared" ca="1" si="3"/>
        <v>8</v>
      </c>
      <c r="Q24" s="92" t="str">
        <f t="shared" ca="1" si="3"/>
        <v>MVS13135-110</v>
      </c>
      <c r="R24" s="92">
        <f t="shared" ca="1" si="3"/>
        <v>17.327999999999999</v>
      </c>
      <c r="S24" s="92" t="str">
        <f t="shared" ca="1" si="3"/>
        <v/>
      </c>
      <c r="T24" s="92" t="str">
        <f t="shared" ca="1" si="3"/>
        <v/>
      </c>
      <c r="U24" s="68"/>
    </row>
    <row r="25" spans="1:21" s="54" customFormat="1" ht="13.5" customHeight="1">
      <c r="A25" s="45" t="str">
        <f t="shared" ca="1" si="4"/>
        <v>B-7</v>
      </c>
      <c r="B25" s="45">
        <f t="shared" ca="1" si="3"/>
        <v>26</v>
      </c>
      <c r="C25" s="45" t="str">
        <f t="shared" ca="1" si="3"/>
        <v>DS1</v>
      </c>
      <c r="D25" s="102" t="str">
        <f t="shared" ca="1" si="3"/>
        <v>A</v>
      </c>
      <c r="E25" s="102" t="str">
        <f t="shared" ca="1" si="3"/>
        <v>MVS</v>
      </c>
      <c r="F25" s="102" t="str">
        <f t="shared" ca="1" si="3"/>
        <v>10085</v>
      </c>
      <c r="G25" s="102">
        <f t="shared" ca="1" si="3"/>
        <v>110</v>
      </c>
      <c r="H25" s="102">
        <f t="shared" ca="1" si="3"/>
        <v>30</v>
      </c>
      <c r="I25" s="92">
        <f t="shared" ca="1" si="3"/>
        <v>200</v>
      </c>
      <c r="J25" s="45">
        <f t="shared" ca="1" si="3"/>
        <v>2660</v>
      </c>
      <c r="K25" s="45" t="str">
        <f t="shared" ca="1" si="3"/>
        <v/>
      </c>
      <c r="L25" s="45" t="str">
        <f t="shared" ca="1" si="3"/>
        <v/>
      </c>
      <c r="M25" s="45" t="str">
        <f t="shared" ca="1" si="3"/>
        <v/>
      </c>
      <c r="N25" s="45" t="str">
        <f t="shared" ca="1" si="3"/>
        <v/>
      </c>
      <c r="O25" s="45">
        <f t="shared" ca="1" si="3"/>
        <v>16</v>
      </c>
      <c r="P25" s="92">
        <f t="shared" ca="1" si="3"/>
        <v>16</v>
      </c>
      <c r="Q25" s="92" t="str">
        <f t="shared" ca="1" si="3"/>
        <v>MVS10085-110</v>
      </c>
      <c r="R25" s="92">
        <f t="shared" ca="1" si="3"/>
        <v>25.536000000000001</v>
      </c>
      <c r="S25" s="92" t="str">
        <f t="shared" ca="1" si="3"/>
        <v/>
      </c>
      <c r="T25" s="92" t="str">
        <f t="shared" ca="1" si="3"/>
        <v/>
      </c>
      <c r="U25" s="68"/>
    </row>
    <row r="26" spans="1:21" s="54" customFormat="1" ht="13.5" customHeight="1">
      <c r="A26" s="45" t="str">
        <f t="shared" ca="1" si="4"/>
        <v>B-7</v>
      </c>
      <c r="B26" s="45">
        <f t="shared" ca="1" si="3"/>
        <v>27</v>
      </c>
      <c r="C26" s="45" t="str">
        <f t="shared" ca="1" si="3"/>
        <v>DS1</v>
      </c>
      <c r="D26" s="102" t="str">
        <f t="shared" ca="1" si="3"/>
        <v>A</v>
      </c>
      <c r="E26" s="102" t="str">
        <f t="shared" ca="1" si="3"/>
        <v>MVS</v>
      </c>
      <c r="F26" s="102" t="str">
        <f t="shared" ca="1" si="3"/>
        <v>10085</v>
      </c>
      <c r="G26" s="102">
        <f t="shared" ca="1" si="3"/>
        <v>110</v>
      </c>
      <c r="H26" s="102">
        <f t="shared" ca="1" si="3"/>
        <v>30</v>
      </c>
      <c r="I26" s="92">
        <f t="shared" ca="1" si="3"/>
        <v>200</v>
      </c>
      <c r="J26" s="45">
        <f t="shared" ca="1" si="3"/>
        <v>2160</v>
      </c>
      <c r="K26" s="45" t="str">
        <f t="shared" ca="1" si="3"/>
        <v/>
      </c>
      <c r="L26" s="45" t="str">
        <f t="shared" ca="1" si="3"/>
        <v/>
      </c>
      <c r="M26" s="45">
        <f t="shared" ca="1" si="3"/>
        <v>2</v>
      </c>
      <c r="N26" s="45" t="str">
        <f t="shared" ca="1" si="3"/>
        <v/>
      </c>
      <c r="O26" s="45">
        <f t="shared" ca="1" si="3"/>
        <v>37</v>
      </c>
      <c r="P26" s="92">
        <f t="shared" ca="1" si="3"/>
        <v>39</v>
      </c>
      <c r="Q26" s="92" t="str">
        <f t="shared" ca="1" si="3"/>
        <v>MVS10085-110</v>
      </c>
      <c r="R26" s="92">
        <f t="shared" ca="1" si="3"/>
        <v>50.543999999999997</v>
      </c>
      <c r="S26" s="92" t="str">
        <f t="shared" ca="1" si="3"/>
        <v/>
      </c>
      <c r="T26" s="92" t="str">
        <f t="shared" ca="1" si="3"/>
        <v/>
      </c>
      <c r="U26" s="68"/>
    </row>
    <row r="27" spans="1:21" s="54" customFormat="1" ht="13.5" customHeight="1">
      <c r="A27" s="45" t="str">
        <f t="shared" ca="1" si="4"/>
        <v>B-8</v>
      </c>
      <c r="B27" s="45">
        <f t="shared" ca="1" si="3"/>
        <v>10</v>
      </c>
      <c r="C27" s="45" t="str">
        <f t="shared" ca="1" si="3"/>
        <v>DS1</v>
      </c>
      <c r="D27" s="102" t="str">
        <f t="shared" ca="1" si="3"/>
        <v>A</v>
      </c>
      <c r="E27" s="102" t="str">
        <f t="shared" ca="1" si="3"/>
        <v>MVS</v>
      </c>
      <c r="F27" s="102" t="str">
        <f t="shared" ca="1" si="3"/>
        <v>10085</v>
      </c>
      <c r="G27" s="102">
        <f t="shared" ca="1" si="3"/>
        <v>110</v>
      </c>
      <c r="H27" s="102">
        <f t="shared" ca="1" si="3"/>
        <v>30</v>
      </c>
      <c r="I27" s="92">
        <f t="shared" ca="1" si="3"/>
        <v>200</v>
      </c>
      <c r="J27" s="45">
        <f t="shared" ca="1" si="3"/>
        <v>2160</v>
      </c>
      <c r="K27" s="45" t="str">
        <f t="shared" ca="1" si="3"/>
        <v/>
      </c>
      <c r="L27" s="45" t="str">
        <f t="shared" ca="1" si="3"/>
        <v/>
      </c>
      <c r="M27" s="45" t="str">
        <f t="shared" ca="1" si="3"/>
        <v/>
      </c>
      <c r="N27" s="45" t="str">
        <f t="shared" ca="1" si="3"/>
        <v/>
      </c>
      <c r="O27" s="45">
        <f t="shared" ca="1" si="3"/>
        <v>25</v>
      </c>
      <c r="P27" s="92">
        <f t="shared" ca="1" si="3"/>
        <v>25</v>
      </c>
      <c r="Q27" s="92" t="str">
        <f t="shared" ca="1" si="3"/>
        <v>MVS10085-110</v>
      </c>
      <c r="R27" s="92">
        <f t="shared" ca="1" si="3"/>
        <v>32.4</v>
      </c>
      <c r="S27" s="92" t="str">
        <f t="shared" ca="1" si="3"/>
        <v/>
      </c>
      <c r="T27" s="92" t="str">
        <f t="shared" ca="1" si="3"/>
        <v/>
      </c>
      <c r="U27" s="68"/>
    </row>
    <row r="28" spans="1:21" s="54" customFormat="1" ht="13.5" customHeight="1">
      <c r="A28" s="45" t="str">
        <f t="shared" ca="1" si="4"/>
        <v>B-8</v>
      </c>
      <c r="B28" s="45">
        <f t="shared" ca="1" si="3"/>
        <v>15</v>
      </c>
      <c r="C28" s="45" t="str">
        <f t="shared" ca="1" si="3"/>
        <v>DS1</v>
      </c>
      <c r="D28" s="102" t="str">
        <f t="shared" ca="1" si="3"/>
        <v>A</v>
      </c>
      <c r="E28" s="102" t="str">
        <f t="shared" ca="1" si="3"/>
        <v>MVS</v>
      </c>
      <c r="F28" s="102" t="str">
        <f t="shared" ca="1" si="3"/>
        <v>10085</v>
      </c>
      <c r="G28" s="102">
        <f t="shared" ca="1" si="3"/>
        <v>110</v>
      </c>
      <c r="H28" s="102">
        <f t="shared" ca="1" si="3"/>
        <v>30</v>
      </c>
      <c r="I28" s="92">
        <f t="shared" ca="1" si="3"/>
        <v>200</v>
      </c>
      <c r="J28" s="45">
        <f t="shared" ref="J28:T59" ca="1" si="5">IF(INDIRECT("제작의뢰서!"&amp;ADDRESS(ROW(),COLUMN()))="","",INDIRECT("제작의뢰서!"&amp;ADDRESS(ROW(),COLUMN())))</f>
        <v>2010</v>
      </c>
      <c r="K28" s="45" t="str">
        <f t="shared" ca="1" si="5"/>
        <v/>
      </c>
      <c r="L28" s="45" t="str">
        <f t="shared" ca="1" si="5"/>
        <v/>
      </c>
      <c r="M28" s="45" t="str">
        <f t="shared" ca="1" si="5"/>
        <v/>
      </c>
      <c r="N28" s="45" t="str">
        <f t="shared" ca="1" si="5"/>
        <v/>
      </c>
      <c r="O28" s="45">
        <f t="shared" ca="1" si="5"/>
        <v>35</v>
      </c>
      <c r="P28" s="92">
        <f t="shared" ca="1" si="5"/>
        <v>35</v>
      </c>
      <c r="Q28" s="92" t="str">
        <f t="shared" ca="1" si="5"/>
        <v>MVS10085-110</v>
      </c>
      <c r="R28" s="92">
        <f t="shared" ca="1" si="5"/>
        <v>42.21</v>
      </c>
      <c r="S28" s="92" t="str">
        <f t="shared" ca="1" si="5"/>
        <v/>
      </c>
      <c r="T28" s="92" t="str">
        <f t="shared" ca="1" si="5"/>
        <v/>
      </c>
      <c r="U28" s="68"/>
    </row>
    <row r="29" spans="1:21" s="54" customFormat="1" ht="13.5" customHeight="1">
      <c r="A29" s="45" t="str">
        <f t="shared" ca="1" si="4"/>
        <v>B-9</v>
      </c>
      <c r="B29" s="45">
        <f t="shared" ca="1" si="4"/>
        <v>2</v>
      </c>
      <c r="C29" s="45" t="str">
        <f t="shared" ca="1" si="4"/>
        <v>DS1</v>
      </c>
      <c r="D29" s="102" t="str">
        <f t="shared" ca="1" si="4"/>
        <v>A</v>
      </c>
      <c r="E29" s="102" t="str">
        <f t="shared" ca="1" si="4"/>
        <v>MVS</v>
      </c>
      <c r="F29" s="102" t="str">
        <f t="shared" ca="1" si="4"/>
        <v>10085</v>
      </c>
      <c r="G29" s="102">
        <f t="shared" ca="1" si="4"/>
        <v>110</v>
      </c>
      <c r="H29" s="102">
        <f t="shared" ca="1" si="4"/>
        <v>30</v>
      </c>
      <c r="I29" s="92">
        <f t="shared" ca="1" si="4"/>
        <v>200</v>
      </c>
      <c r="J29" s="45">
        <f t="shared" ca="1" si="4"/>
        <v>2160</v>
      </c>
      <c r="K29" s="45" t="str">
        <f t="shared" ca="1" si="4"/>
        <v/>
      </c>
      <c r="L29" s="45" t="str">
        <f t="shared" ca="1" si="4"/>
        <v/>
      </c>
      <c r="M29" s="45" t="str">
        <f t="shared" ca="1" si="4"/>
        <v/>
      </c>
      <c r="N29" s="45" t="str">
        <f t="shared" ca="1" si="4"/>
        <v/>
      </c>
      <c r="O29" s="45">
        <f t="shared" ca="1" si="4"/>
        <v>60</v>
      </c>
      <c r="P29" s="92">
        <f t="shared" ca="1" si="4"/>
        <v>60</v>
      </c>
      <c r="Q29" s="92" t="str">
        <f t="shared" ca="1" si="5"/>
        <v>MVS10085-110</v>
      </c>
      <c r="R29" s="92">
        <f t="shared" ca="1" si="5"/>
        <v>77.760000000000005</v>
      </c>
      <c r="S29" s="92" t="str">
        <f t="shared" ca="1" si="5"/>
        <v/>
      </c>
      <c r="T29" s="92" t="str">
        <f t="shared" ca="1" si="5"/>
        <v/>
      </c>
      <c r="U29" s="68"/>
    </row>
    <row r="30" spans="1:21" s="54" customFormat="1" ht="13.5" customHeight="1">
      <c r="A30" s="45" t="str">
        <f t="shared" ca="1" si="4"/>
        <v/>
      </c>
      <c r="B30" s="45" t="str">
        <f t="shared" ca="1" si="4"/>
        <v/>
      </c>
      <c r="C30" s="45" t="str">
        <f t="shared" ca="1" si="4"/>
        <v/>
      </c>
      <c r="D30" s="102" t="str">
        <f t="shared" ca="1" si="4"/>
        <v/>
      </c>
      <c r="E30" s="102" t="str">
        <f t="shared" ca="1" si="4"/>
        <v/>
      </c>
      <c r="F30" s="102" t="str">
        <f t="shared" ca="1" si="4"/>
        <v/>
      </c>
      <c r="G30" s="102">
        <f t="shared" ca="1" si="4"/>
        <v>0</v>
      </c>
      <c r="H30" s="102">
        <f t="shared" ca="1" si="4"/>
        <v>0</v>
      </c>
      <c r="I30" s="92">
        <f t="shared" ca="1" si="4"/>
        <v>0</v>
      </c>
      <c r="J30" s="45" t="str">
        <f t="shared" ca="1" si="4"/>
        <v/>
      </c>
      <c r="K30" s="45" t="str">
        <f t="shared" ca="1" si="4"/>
        <v/>
      </c>
      <c r="L30" s="45" t="str">
        <f t="shared" ca="1" si="4"/>
        <v/>
      </c>
      <c r="M30" s="45" t="str">
        <f t="shared" ca="1" si="4"/>
        <v/>
      </c>
      <c r="N30" s="45" t="str">
        <f t="shared" ca="1" si="4"/>
        <v/>
      </c>
      <c r="O30" s="45" t="str">
        <f t="shared" ca="1" si="4"/>
        <v/>
      </c>
      <c r="P30" s="92">
        <f t="shared" ca="1" si="4"/>
        <v>0</v>
      </c>
      <c r="Q30" s="92" t="str">
        <f t="shared" ca="1" si="5"/>
        <v/>
      </c>
      <c r="R30" s="92">
        <f t="shared" ca="1" si="5"/>
        <v>0</v>
      </c>
      <c r="S30" s="92" t="str">
        <f t="shared" ca="1" si="5"/>
        <v/>
      </c>
      <c r="T30" s="92" t="str">
        <f t="shared" ca="1" si="5"/>
        <v/>
      </c>
      <c r="U30" s="68"/>
    </row>
    <row r="31" spans="1:21" s="54" customFormat="1" ht="13.5" customHeight="1">
      <c r="A31" s="45" t="str">
        <f t="shared" ca="1" si="4"/>
        <v/>
      </c>
      <c r="B31" s="45" t="str">
        <f t="shared" ca="1" si="4"/>
        <v/>
      </c>
      <c r="C31" s="45" t="str">
        <f t="shared" ca="1" si="4"/>
        <v/>
      </c>
      <c r="D31" s="102" t="str">
        <f t="shared" ca="1" si="4"/>
        <v/>
      </c>
      <c r="E31" s="102" t="str">
        <f t="shared" ca="1" si="4"/>
        <v/>
      </c>
      <c r="F31" s="102" t="str">
        <f t="shared" ca="1" si="4"/>
        <v/>
      </c>
      <c r="G31" s="102">
        <f t="shared" ca="1" si="4"/>
        <v>0</v>
      </c>
      <c r="H31" s="102">
        <f t="shared" ca="1" si="4"/>
        <v>0</v>
      </c>
      <c r="I31" s="92">
        <f t="shared" ca="1" si="4"/>
        <v>0</v>
      </c>
      <c r="J31" s="45" t="str">
        <f t="shared" ca="1" si="4"/>
        <v/>
      </c>
      <c r="K31" s="45" t="str">
        <f t="shared" ca="1" si="4"/>
        <v/>
      </c>
      <c r="L31" s="45" t="str">
        <f t="shared" ca="1" si="4"/>
        <v/>
      </c>
      <c r="M31" s="45" t="str">
        <f t="shared" ca="1" si="4"/>
        <v/>
      </c>
      <c r="N31" s="45" t="str">
        <f t="shared" ca="1" si="4"/>
        <v/>
      </c>
      <c r="O31" s="45" t="str">
        <f t="shared" ca="1" si="4"/>
        <v/>
      </c>
      <c r="P31" s="92">
        <f t="shared" ca="1" si="4"/>
        <v>0</v>
      </c>
      <c r="Q31" s="92" t="str">
        <f t="shared" ca="1" si="5"/>
        <v/>
      </c>
      <c r="R31" s="92">
        <f t="shared" ca="1" si="5"/>
        <v>0</v>
      </c>
      <c r="S31" s="92" t="str">
        <f t="shared" ca="1" si="5"/>
        <v/>
      </c>
      <c r="T31" s="92" t="str">
        <f t="shared" ca="1" si="5"/>
        <v/>
      </c>
      <c r="U31" s="68"/>
    </row>
    <row r="32" spans="1:21" s="54" customFormat="1" ht="13.5" customHeight="1">
      <c r="A32" s="45" t="str">
        <f t="shared" ca="1" si="4"/>
        <v/>
      </c>
      <c r="B32" s="45" t="str">
        <f t="shared" ca="1" si="4"/>
        <v/>
      </c>
      <c r="C32" s="45" t="str">
        <f t="shared" ca="1" si="4"/>
        <v/>
      </c>
      <c r="D32" s="102" t="str">
        <f t="shared" ca="1" si="4"/>
        <v/>
      </c>
      <c r="E32" s="102" t="str">
        <f t="shared" ca="1" si="4"/>
        <v/>
      </c>
      <c r="F32" s="102" t="str">
        <f t="shared" ca="1" si="4"/>
        <v/>
      </c>
      <c r="G32" s="102">
        <f t="shared" ca="1" si="4"/>
        <v>0</v>
      </c>
      <c r="H32" s="102">
        <f t="shared" ca="1" si="4"/>
        <v>0</v>
      </c>
      <c r="I32" s="92">
        <f t="shared" ca="1" si="4"/>
        <v>0</v>
      </c>
      <c r="J32" s="45" t="str">
        <f t="shared" ca="1" si="4"/>
        <v/>
      </c>
      <c r="K32" s="45" t="str">
        <f t="shared" ca="1" si="4"/>
        <v/>
      </c>
      <c r="L32" s="45" t="str">
        <f t="shared" ca="1" si="4"/>
        <v/>
      </c>
      <c r="M32" s="45" t="str">
        <f t="shared" ca="1" si="4"/>
        <v/>
      </c>
      <c r="N32" s="45" t="str">
        <f t="shared" ca="1" si="4"/>
        <v/>
      </c>
      <c r="O32" s="45" t="str">
        <f t="shared" ca="1" si="4"/>
        <v/>
      </c>
      <c r="P32" s="92">
        <f t="shared" ca="1" si="4"/>
        <v>0</v>
      </c>
      <c r="Q32" s="92" t="str">
        <f t="shared" ca="1" si="5"/>
        <v/>
      </c>
      <c r="R32" s="92">
        <f t="shared" ca="1" si="5"/>
        <v>0</v>
      </c>
      <c r="S32" s="92" t="str">
        <f t="shared" ca="1" si="5"/>
        <v/>
      </c>
      <c r="T32" s="92" t="str">
        <f t="shared" ca="1" si="5"/>
        <v/>
      </c>
      <c r="U32" s="68"/>
    </row>
    <row r="33" spans="1:21" s="54" customFormat="1" ht="13.5" customHeight="1">
      <c r="A33" s="45" t="str">
        <f t="shared" ca="1" si="4"/>
        <v/>
      </c>
      <c r="B33" s="45" t="str">
        <f t="shared" ca="1" si="4"/>
        <v/>
      </c>
      <c r="C33" s="45" t="str">
        <f t="shared" ca="1" si="4"/>
        <v/>
      </c>
      <c r="D33" s="92" t="str">
        <f t="shared" ca="1" si="4"/>
        <v/>
      </c>
      <c r="E33" s="92" t="str">
        <f t="shared" ca="1" si="4"/>
        <v/>
      </c>
      <c r="F33" s="92" t="str">
        <f t="shared" ca="1" si="4"/>
        <v/>
      </c>
      <c r="G33" s="92">
        <f t="shared" ca="1" si="4"/>
        <v>0</v>
      </c>
      <c r="H33" s="92">
        <f t="shared" ca="1" si="4"/>
        <v>0</v>
      </c>
      <c r="I33" s="92">
        <f t="shared" ca="1" si="4"/>
        <v>0</v>
      </c>
      <c r="J33" s="45" t="str">
        <f t="shared" ca="1" si="4"/>
        <v/>
      </c>
      <c r="K33" s="45" t="str">
        <f t="shared" ca="1" si="4"/>
        <v/>
      </c>
      <c r="L33" s="45" t="str">
        <f t="shared" ca="1" si="4"/>
        <v/>
      </c>
      <c r="M33" s="45" t="str">
        <f t="shared" ca="1" si="4"/>
        <v/>
      </c>
      <c r="N33" s="45" t="str">
        <f t="shared" ca="1" si="4"/>
        <v/>
      </c>
      <c r="O33" s="45" t="str">
        <f t="shared" ca="1" si="4"/>
        <v/>
      </c>
      <c r="P33" s="92">
        <f t="shared" ca="1" si="4"/>
        <v>0</v>
      </c>
      <c r="Q33" s="92" t="str">
        <f t="shared" ca="1" si="5"/>
        <v/>
      </c>
      <c r="R33" s="92">
        <f t="shared" ca="1" si="5"/>
        <v>0</v>
      </c>
      <c r="S33" s="92" t="str">
        <f t="shared" ca="1" si="5"/>
        <v/>
      </c>
      <c r="T33" s="92" t="str">
        <f t="shared" ca="1" si="5"/>
        <v/>
      </c>
      <c r="U33" s="68"/>
    </row>
    <row r="34" spans="1:21" s="54" customFormat="1" ht="13.5" customHeight="1">
      <c r="A34" s="45" t="str">
        <f t="shared" ca="1" si="4"/>
        <v/>
      </c>
      <c r="B34" s="45" t="str">
        <f t="shared" ca="1" si="4"/>
        <v/>
      </c>
      <c r="C34" s="45" t="str">
        <f t="shared" ca="1" si="4"/>
        <v/>
      </c>
      <c r="D34" s="92" t="str">
        <f t="shared" ca="1" si="4"/>
        <v/>
      </c>
      <c r="E34" s="92" t="str">
        <f t="shared" ca="1" si="4"/>
        <v/>
      </c>
      <c r="F34" s="92" t="str">
        <f t="shared" ca="1" si="4"/>
        <v/>
      </c>
      <c r="G34" s="92">
        <f t="shared" ca="1" si="4"/>
        <v>0</v>
      </c>
      <c r="H34" s="92">
        <f t="shared" ca="1" si="4"/>
        <v>0</v>
      </c>
      <c r="I34" s="92">
        <f t="shared" ca="1" si="4"/>
        <v>0</v>
      </c>
      <c r="J34" s="45" t="str">
        <f t="shared" ca="1" si="4"/>
        <v/>
      </c>
      <c r="K34" s="45" t="str">
        <f t="shared" ca="1" si="4"/>
        <v/>
      </c>
      <c r="L34" s="45" t="str">
        <f t="shared" ca="1" si="4"/>
        <v/>
      </c>
      <c r="M34" s="45" t="str">
        <f t="shared" ca="1" si="4"/>
        <v/>
      </c>
      <c r="N34" s="45" t="str">
        <f t="shared" ca="1" si="4"/>
        <v/>
      </c>
      <c r="O34" s="45" t="str">
        <f t="shared" ca="1" si="4"/>
        <v/>
      </c>
      <c r="P34" s="92">
        <f t="shared" ca="1" si="4"/>
        <v>0</v>
      </c>
      <c r="Q34" s="92" t="str">
        <f t="shared" ca="1" si="5"/>
        <v/>
      </c>
      <c r="R34" s="92">
        <f t="shared" ca="1" si="5"/>
        <v>0</v>
      </c>
      <c r="S34" s="92" t="str">
        <f t="shared" ca="1" si="5"/>
        <v/>
      </c>
      <c r="T34" s="92" t="str">
        <f t="shared" ca="1" si="5"/>
        <v/>
      </c>
      <c r="U34" s="68"/>
    </row>
    <row r="35" spans="1:21" s="54" customFormat="1" ht="13.5" customHeight="1">
      <c r="A35" s="45" t="str">
        <f t="shared" ca="1" si="4"/>
        <v/>
      </c>
      <c r="B35" s="45" t="str">
        <f t="shared" ca="1" si="4"/>
        <v/>
      </c>
      <c r="C35" s="45" t="str">
        <f t="shared" ca="1" si="4"/>
        <v/>
      </c>
      <c r="D35" s="92" t="str">
        <f t="shared" ca="1" si="4"/>
        <v/>
      </c>
      <c r="E35" s="92" t="str">
        <f t="shared" ca="1" si="4"/>
        <v/>
      </c>
      <c r="F35" s="92" t="str">
        <f t="shared" ca="1" si="4"/>
        <v/>
      </c>
      <c r="G35" s="92">
        <f t="shared" ca="1" si="4"/>
        <v>0</v>
      </c>
      <c r="H35" s="92">
        <f t="shared" ca="1" si="4"/>
        <v>0</v>
      </c>
      <c r="I35" s="92">
        <f t="shared" ca="1" si="4"/>
        <v>0</v>
      </c>
      <c r="J35" s="45" t="str">
        <f t="shared" ca="1" si="4"/>
        <v/>
      </c>
      <c r="K35" s="45" t="str">
        <f t="shared" ca="1" si="4"/>
        <v/>
      </c>
      <c r="L35" s="45" t="str">
        <f t="shared" ca="1" si="4"/>
        <v/>
      </c>
      <c r="M35" s="45" t="str">
        <f t="shared" ca="1" si="4"/>
        <v/>
      </c>
      <c r="N35" s="45" t="str">
        <f t="shared" ca="1" si="4"/>
        <v/>
      </c>
      <c r="O35" s="45" t="str">
        <f t="shared" ca="1" si="4"/>
        <v/>
      </c>
      <c r="P35" s="92">
        <f t="shared" ca="1" si="4"/>
        <v>0</v>
      </c>
      <c r="Q35" s="92" t="str">
        <f t="shared" ca="1" si="5"/>
        <v/>
      </c>
      <c r="R35" s="92">
        <f t="shared" ca="1" si="5"/>
        <v>0</v>
      </c>
      <c r="S35" s="92" t="str">
        <f t="shared" ca="1" si="5"/>
        <v/>
      </c>
      <c r="T35" s="92" t="str">
        <f t="shared" ca="1" si="5"/>
        <v/>
      </c>
      <c r="U35" s="68"/>
    </row>
    <row r="36" spans="1:21" s="54" customFormat="1" ht="13.5" customHeight="1">
      <c r="A36" s="45" t="str">
        <f t="shared" ca="1" si="4"/>
        <v/>
      </c>
      <c r="B36" s="45" t="str">
        <f t="shared" ca="1" si="4"/>
        <v/>
      </c>
      <c r="C36" s="45" t="str">
        <f t="shared" ca="1" si="4"/>
        <v/>
      </c>
      <c r="D36" s="92" t="str">
        <f t="shared" ca="1" si="4"/>
        <v/>
      </c>
      <c r="E36" s="92" t="str">
        <f t="shared" ca="1" si="4"/>
        <v/>
      </c>
      <c r="F36" s="92" t="str">
        <f t="shared" ca="1" si="4"/>
        <v/>
      </c>
      <c r="G36" s="92">
        <f t="shared" ca="1" si="4"/>
        <v>0</v>
      </c>
      <c r="H36" s="92">
        <f t="shared" ca="1" si="4"/>
        <v>0</v>
      </c>
      <c r="I36" s="92">
        <f t="shared" ca="1" si="4"/>
        <v>0</v>
      </c>
      <c r="J36" s="45" t="str">
        <f t="shared" ca="1" si="4"/>
        <v/>
      </c>
      <c r="K36" s="45" t="str">
        <f t="shared" ca="1" si="4"/>
        <v/>
      </c>
      <c r="L36" s="45" t="str">
        <f t="shared" ca="1" si="4"/>
        <v/>
      </c>
      <c r="M36" s="45" t="str">
        <f t="shared" ca="1" si="4"/>
        <v/>
      </c>
      <c r="N36" s="45" t="str">
        <f t="shared" ca="1" si="4"/>
        <v/>
      </c>
      <c r="O36" s="45" t="str">
        <f t="shared" ca="1" si="4"/>
        <v/>
      </c>
      <c r="P36" s="92">
        <f t="shared" ca="1" si="4"/>
        <v>0</v>
      </c>
      <c r="Q36" s="92" t="str">
        <f t="shared" ca="1" si="5"/>
        <v/>
      </c>
      <c r="R36" s="92">
        <f t="shared" ca="1" si="5"/>
        <v>0</v>
      </c>
      <c r="S36" s="92" t="str">
        <f t="shared" ca="1" si="5"/>
        <v/>
      </c>
      <c r="T36" s="92" t="str">
        <f t="shared" ca="1" si="5"/>
        <v/>
      </c>
      <c r="U36" s="68"/>
    </row>
    <row r="37" spans="1:21" s="54" customFormat="1" ht="13.5" customHeight="1">
      <c r="A37" s="45" t="str">
        <f t="shared" ca="1" si="4"/>
        <v/>
      </c>
      <c r="B37" s="45" t="str">
        <f t="shared" ca="1" si="4"/>
        <v/>
      </c>
      <c r="C37" s="45" t="str">
        <f t="shared" ca="1" si="4"/>
        <v/>
      </c>
      <c r="D37" s="92" t="str">
        <f t="shared" ca="1" si="4"/>
        <v/>
      </c>
      <c r="E37" s="92" t="str">
        <f t="shared" ca="1" si="4"/>
        <v/>
      </c>
      <c r="F37" s="92" t="str">
        <f t="shared" ca="1" si="4"/>
        <v/>
      </c>
      <c r="G37" s="92">
        <f t="shared" ca="1" si="4"/>
        <v>0</v>
      </c>
      <c r="H37" s="92">
        <f t="shared" ca="1" si="4"/>
        <v>0</v>
      </c>
      <c r="I37" s="92">
        <f t="shared" ca="1" si="4"/>
        <v>0</v>
      </c>
      <c r="J37" s="45" t="str">
        <f t="shared" ca="1" si="4"/>
        <v/>
      </c>
      <c r="K37" s="45" t="str">
        <f t="shared" ca="1" si="4"/>
        <v/>
      </c>
      <c r="L37" s="45" t="str">
        <f t="shared" ca="1" si="4"/>
        <v/>
      </c>
      <c r="M37" s="45" t="str">
        <f t="shared" ca="1" si="4"/>
        <v/>
      </c>
      <c r="N37" s="45" t="str">
        <f t="shared" ca="1" si="4"/>
        <v/>
      </c>
      <c r="O37" s="45" t="str">
        <f t="shared" ca="1" si="4"/>
        <v/>
      </c>
      <c r="P37" s="92">
        <f t="shared" ca="1" si="4"/>
        <v>0</v>
      </c>
      <c r="Q37" s="92" t="str">
        <f t="shared" ca="1" si="5"/>
        <v/>
      </c>
      <c r="R37" s="92">
        <f t="shared" ca="1" si="5"/>
        <v>0</v>
      </c>
      <c r="S37" s="92" t="str">
        <f t="shared" ca="1" si="5"/>
        <v/>
      </c>
      <c r="T37" s="92" t="str">
        <f t="shared" ca="1" si="5"/>
        <v/>
      </c>
      <c r="U37" s="68"/>
    </row>
    <row r="38" spans="1:21" s="54" customFormat="1" ht="13.5" customHeight="1">
      <c r="A38" s="45" t="str">
        <f t="shared" ca="1" si="4"/>
        <v/>
      </c>
      <c r="B38" s="45" t="str">
        <f t="shared" ca="1" si="4"/>
        <v/>
      </c>
      <c r="C38" s="45" t="str">
        <f t="shared" ca="1" si="4"/>
        <v/>
      </c>
      <c r="D38" s="92" t="str">
        <f t="shared" ca="1" si="4"/>
        <v/>
      </c>
      <c r="E38" s="92" t="str">
        <f t="shared" ca="1" si="4"/>
        <v/>
      </c>
      <c r="F38" s="92" t="str">
        <f t="shared" ca="1" si="4"/>
        <v/>
      </c>
      <c r="G38" s="92">
        <f t="shared" ca="1" si="4"/>
        <v>0</v>
      </c>
      <c r="H38" s="92">
        <f t="shared" ca="1" si="4"/>
        <v>0</v>
      </c>
      <c r="I38" s="92">
        <f t="shared" ca="1" si="4"/>
        <v>0</v>
      </c>
      <c r="J38" s="45" t="str">
        <f t="shared" ca="1" si="4"/>
        <v/>
      </c>
      <c r="K38" s="45" t="str">
        <f t="shared" ca="1" si="4"/>
        <v/>
      </c>
      <c r="L38" s="45" t="str">
        <f t="shared" ca="1" si="4"/>
        <v/>
      </c>
      <c r="M38" s="45" t="str">
        <f t="shared" ca="1" si="4"/>
        <v/>
      </c>
      <c r="N38" s="45" t="str">
        <f t="shared" ca="1" si="4"/>
        <v/>
      </c>
      <c r="O38" s="45" t="str">
        <f t="shared" ca="1" si="4"/>
        <v/>
      </c>
      <c r="P38" s="92">
        <f t="shared" ca="1" si="4"/>
        <v>0</v>
      </c>
      <c r="Q38" s="92" t="str">
        <f t="shared" ca="1" si="5"/>
        <v/>
      </c>
      <c r="R38" s="92">
        <f t="shared" ca="1" si="5"/>
        <v>0</v>
      </c>
      <c r="S38" s="92" t="str">
        <f t="shared" ca="1" si="5"/>
        <v/>
      </c>
      <c r="T38" s="92" t="str">
        <f t="shared" ca="1" si="5"/>
        <v/>
      </c>
      <c r="U38" s="68"/>
    </row>
    <row r="39" spans="1:21" s="54" customFormat="1" ht="13.5" customHeight="1">
      <c r="A39" s="45" t="str">
        <f t="shared" ca="1" si="4"/>
        <v/>
      </c>
      <c r="B39" s="45" t="str">
        <f t="shared" ca="1" si="4"/>
        <v/>
      </c>
      <c r="C39" s="45" t="str">
        <f t="shared" ca="1" si="4"/>
        <v/>
      </c>
      <c r="D39" s="92" t="str">
        <f t="shared" ca="1" si="4"/>
        <v/>
      </c>
      <c r="E39" s="92" t="str">
        <f t="shared" ca="1" si="4"/>
        <v/>
      </c>
      <c r="F39" s="92" t="str">
        <f t="shared" ca="1" si="4"/>
        <v/>
      </c>
      <c r="G39" s="92">
        <f t="shared" ca="1" si="4"/>
        <v>0</v>
      </c>
      <c r="H39" s="92">
        <f t="shared" ca="1" si="4"/>
        <v>0</v>
      </c>
      <c r="I39" s="92">
        <f t="shared" ca="1" si="4"/>
        <v>0</v>
      </c>
      <c r="J39" s="45" t="str">
        <f t="shared" ca="1" si="4"/>
        <v/>
      </c>
      <c r="K39" s="45" t="str">
        <f t="shared" ca="1" si="4"/>
        <v/>
      </c>
      <c r="L39" s="45" t="str">
        <f t="shared" ca="1" si="4"/>
        <v/>
      </c>
      <c r="M39" s="45" t="str">
        <f t="shared" ca="1" si="4"/>
        <v/>
      </c>
      <c r="N39" s="45" t="str">
        <f t="shared" ca="1" si="4"/>
        <v/>
      </c>
      <c r="O39" s="45" t="str">
        <f t="shared" ca="1" si="4"/>
        <v/>
      </c>
      <c r="P39" s="92">
        <f t="shared" ca="1" si="4"/>
        <v>0</v>
      </c>
      <c r="Q39" s="92" t="str">
        <f t="shared" ca="1" si="5"/>
        <v/>
      </c>
      <c r="R39" s="92">
        <f t="shared" ca="1" si="5"/>
        <v>0</v>
      </c>
      <c r="S39" s="92" t="str">
        <f t="shared" ca="1" si="5"/>
        <v/>
      </c>
      <c r="T39" s="92" t="str">
        <f t="shared" ca="1" si="5"/>
        <v/>
      </c>
      <c r="U39" s="68"/>
    </row>
    <row r="40" spans="1:21" s="54" customFormat="1" ht="13.5" customHeight="1">
      <c r="A40" s="45" t="str">
        <f t="shared" ca="1" si="4"/>
        <v/>
      </c>
      <c r="B40" s="45" t="str">
        <f t="shared" ca="1" si="4"/>
        <v/>
      </c>
      <c r="C40" s="45" t="str">
        <f t="shared" ca="1" si="4"/>
        <v/>
      </c>
      <c r="D40" s="92" t="str">
        <f t="shared" ca="1" si="4"/>
        <v/>
      </c>
      <c r="E40" s="92" t="str">
        <f t="shared" ca="1" si="4"/>
        <v/>
      </c>
      <c r="F40" s="92" t="str">
        <f t="shared" ca="1" si="4"/>
        <v/>
      </c>
      <c r="G40" s="92">
        <f t="shared" ca="1" si="4"/>
        <v>0</v>
      </c>
      <c r="H40" s="92">
        <f t="shared" ca="1" si="4"/>
        <v>0</v>
      </c>
      <c r="I40" s="92">
        <f t="shared" ca="1" si="4"/>
        <v>0</v>
      </c>
      <c r="J40" s="45" t="str">
        <f t="shared" ca="1" si="4"/>
        <v/>
      </c>
      <c r="K40" s="45" t="str">
        <f t="shared" ca="1" si="4"/>
        <v/>
      </c>
      <c r="L40" s="45" t="str">
        <f t="shared" ca="1" si="4"/>
        <v/>
      </c>
      <c r="M40" s="45" t="str">
        <f t="shared" ca="1" si="4"/>
        <v/>
      </c>
      <c r="N40" s="45" t="str">
        <f t="shared" ca="1" si="4"/>
        <v/>
      </c>
      <c r="O40" s="45" t="str">
        <f t="shared" ca="1" si="4"/>
        <v/>
      </c>
      <c r="P40" s="92">
        <f t="shared" ca="1" si="4"/>
        <v>0</v>
      </c>
      <c r="Q40" s="92" t="str">
        <f t="shared" ca="1" si="5"/>
        <v/>
      </c>
      <c r="R40" s="92">
        <f t="shared" ca="1" si="5"/>
        <v>0</v>
      </c>
      <c r="S40" s="92" t="str">
        <f t="shared" ca="1" si="5"/>
        <v/>
      </c>
      <c r="T40" s="92" t="str">
        <f t="shared" ca="1" si="5"/>
        <v/>
      </c>
      <c r="U40" s="68"/>
    </row>
    <row r="41" spans="1:21" s="54" customFormat="1" ht="13.5" customHeight="1">
      <c r="A41" s="45" t="str">
        <f t="shared" ca="1" si="4"/>
        <v/>
      </c>
      <c r="B41" s="45" t="str">
        <f t="shared" ca="1" si="4"/>
        <v/>
      </c>
      <c r="C41" s="45" t="str">
        <f t="shared" ca="1" si="4"/>
        <v/>
      </c>
      <c r="D41" s="92" t="str">
        <f t="shared" ca="1" si="4"/>
        <v/>
      </c>
      <c r="E41" s="92" t="str">
        <f t="shared" ca="1" si="4"/>
        <v/>
      </c>
      <c r="F41" s="92" t="str">
        <f t="shared" ca="1" si="4"/>
        <v/>
      </c>
      <c r="G41" s="92">
        <f t="shared" ca="1" si="4"/>
        <v>0</v>
      </c>
      <c r="H41" s="92">
        <f t="shared" ca="1" si="4"/>
        <v>0</v>
      </c>
      <c r="I41" s="92">
        <f t="shared" ca="1" si="4"/>
        <v>0</v>
      </c>
      <c r="J41" s="45" t="str">
        <f t="shared" ca="1" si="4"/>
        <v/>
      </c>
      <c r="K41" s="45" t="str">
        <f t="shared" ca="1" si="4"/>
        <v/>
      </c>
      <c r="L41" s="45" t="str">
        <f t="shared" ca="1" si="4"/>
        <v/>
      </c>
      <c r="M41" s="45" t="str">
        <f t="shared" ca="1" si="4"/>
        <v/>
      </c>
      <c r="N41" s="45" t="str">
        <f t="shared" ca="1" si="4"/>
        <v/>
      </c>
      <c r="O41" s="45" t="str">
        <f t="shared" ca="1" si="4"/>
        <v/>
      </c>
      <c r="P41" s="92">
        <f t="shared" ca="1" si="4"/>
        <v>0</v>
      </c>
      <c r="Q41" s="92" t="str">
        <f t="shared" ca="1" si="5"/>
        <v/>
      </c>
      <c r="R41" s="92">
        <f t="shared" ca="1" si="5"/>
        <v>0</v>
      </c>
      <c r="S41" s="92" t="str">
        <f t="shared" ca="1" si="5"/>
        <v/>
      </c>
      <c r="T41" s="92" t="str">
        <f t="shared" ca="1" si="5"/>
        <v/>
      </c>
      <c r="U41" s="68"/>
    </row>
    <row r="42" spans="1:21" s="54" customFormat="1" ht="13.5" customHeight="1">
      <c r="A42" s="45" t="str">
        <f t="shared" ca="1" si="4"/>
        <v/>
      </c>
      <c r="B42" s="45" t="str">
        <f t="shared" ca="1" si="4"/>
        <v/>
      </c>
      <c r="C42" s="45" t="str">
        <f t="shared" ca="1" si="4"/>
        <v/>
      </c>
      <c r="D42" s="92" t="str">
        <f t="shared" ca="1" si="4"/>
        <v/>
      </c>
      <c r="E42" s="92" t="str">
        <f t="shared" ca="1" si="4"/>
        <v/>
      </c>
      <c r="F42" s="92" t="str">
        <f t="shared" ca="1" si="4"/>
        <v/>
      </c>
      <c r="G42" s="92">
        <f t="shared" ca="1" si="4"/>
        <v>0</v>
      </c>
      <c r="H42" s="92">
        <f t="shared" ca="1" si="4"/>
        <v>0</v>
      </c>
      <c r="I42" s="92">
        <f t="shared" ca="1" si="4"/>
        <v>0</v>
      </c>
      <c r="J42" s="45" t="str">
        <f t="shared" ca="1" si="4"/>
        <v/>
      </c>
      <c r="K42" s="45" t="str">
        <f t="shared" ca="1" si="4"/>
        <v/>
      </c>
      <c r="L42" s="45" t="str">
        <f t="shared" ca="1" si="4"/>
        <v/>
      </c>
      <c r="M42" s="45" t="str">
        <f t="shared" ca="1" si="4"/>
        <v/>
      </c>
      <c r="N42" s="45" t="str">
        <f t="shared" ca="1" si="4"/>
        <v/>
      </c>
      <c r="O42" s="45" t="str">
        <f t="shared" ca="1" si="4"/>
        <v/>
      </c>
      <c r="P42" s="92">
        <f t="shared" ca="1" si="4"/>
        <v>0</v>
      </c>
      <c r="Q42" s="92" t="str">
        <f t="shared" ca="1" si="5"/>
        <v/>
      </c>
      <c r="R42" s="92">
        <f t="shared" ca="1" si="5"/>
        <v>0</v>
      </c>
      <c r="S42" s="92" t="str">
        <f t="shared" ca="1" si="5"/>
        <v/>
      </c>
      <c r="T42" s="92" t="str">
        <f t="shared" ca="1" si="5"/>
        <v/>
      </c>
      <c r="U42" s="68"/>
    </row>
    <row r="43" spans="1:21" s="54" customFormat="1" ht="13.5" customHeight="1">
      <c r="A43" s="45" t="str">
        <f t="shared" ca="1" si="4"/>
        <v/>
      </c>
      <c r="B43" s="45" t="str">
        <f t="shared" ca="1" si="4"/>
        <v/>
      </c>
      <c r="C43" s="45" t="str">
        <f t="shared" ca="1" si="4"/>
        <v/>
      </c>
      <c r="D43" s="92" t="str">
        <f t="shared" ca="1" si="4"/>
        <v/>
      </c>
      <c r="E43" s="92" t="str">
        <f t="shared" ca="1" si="4"/>
        <v/>
      </c>
      <c r="F43" s="92" t="str">
        <f t="shared" ca="1" si="4"/>
        <v/>
      </c>
      <c r="G43" s="92">
        <f t="shared" ca="1" si="4"/>
        <v>0</v>
      </c>
      <c r="H43" s="92">
        <f t="shared" ca="1" si="4"/>
        <v>0</v>
      </c>
      <c r="I43" s="92">
        <f t="shared" ca="1" si="4"/>
        <v>0</v>
      </c>
      <c r="J43" s="45" t="str">
        <f t="shared" ca="1" si="4"/>
        <v/>
      </c>
      <c r="K43" s="45" t="str">
        <f t="shared" ca="1" si="4"/>
        <v/>
      </c>
      <c r="L43" s="45" t="str">
        <f t="shared" ca="1" si="4"/>
        <v/>
      </c>
      <c r="M43" s="45" t="str">
        <f t="shared" ca="1" si="4"/>
        <v/>
      </c>
      <c r="N43" s="45" t="str">
        <f t="shared" ca="1" si="4"/>
        <v/>
      </c>
      <c r="O43" s="45" t="str">
        <f t="shared" ca="1" si="4"/>
        <v/>
      </c>
      <c r="P43" s="92">
        <f t="shared" ca="1" si="4"/>
        <v>0</v>
      </c>
      <c r="Q43" s="92" t="str">
        <f t="shared" ca="1" si="5"/>
        <v/>
      </c>
      <c r="R43" s="92">
        <f t="shared" ca="1" si="5"/>
        <v>0</v>
      </c>
      <c r="S43" s="92" t="str">
        <f t="shared" ca="1" si="5"/>
        <v/>
      </c>
      <c r="T43" s="92" t="str">
        <f t="shared" ca="1" si="5"/>
        <v/>
      </c>
      <c r="U43" s="68"/>
    </row>
    <row r="44" spans="1:21" s="54" customFormat="1" ht="13.5" customHeight="1">
      <c r="A44" s="45" t="str">
        <f t="shared" ca="1" si="4"/>
        <v/>
      </c>
      <c r="B44" s="45" t="str">
        <f t="shared" ca="1" si="4"/>
        <v/>
      </c>
      <c r="C44" s="45" t="str">
        <f t="shared" ref="C44:R59" ca="1" si="6">IF(INDIRECT("제작의뢰서!"&amp;ADDRESS(ROW(),COLUMN()))="","",INDIRECT("제작의뢰서!"&amp;ADDRESS(ROW(),COLUMN())))</f>
        <v/>
      </c>
      <c r="D44" s="92" t="str">
        <f t="shared" ca="1" si="6"/>
        <v/>
      </c>
      <c r="E44" s="92" t="str">
        <f t="shared" ca="1" si="6"/>
        <v/>
      </c>
      <c r="F44" s="92" t="str">
        <f t="shared" ca="1" si="6"/>
        <v/>
      </c>
      <c r="G44" s="92">
        <f t="shared" ca="1" si="6"/>
        <v>0</v>
      </c>
      <c r="H44" s="92">
        <f t="shared" ca="1" si="6"/>
        <v>0</v>
      </c>
      <c r="I44" s="92">
        <f t="shared" ca="1" si="6"/>
        <v>0</v>
      </c>
      <c r="J44" s="45" t="str">
        <f t="shared" ca="1" si="6"/>
        <v/>
      </c>
      <c r="K44" s="45" t="str">
        <f t="shared" ca="1" si="6"/>
        <v/>
      </c>
      <c r="L44" s="45" t="str">
        <f t="shared" ca="1" si="6"/>
        <v/>
      </c>
      <c r="M44" s="45" t="str">
        <f t="shared" ca="1" si="6"/>
        <v/>
      </c>
      <c r="N44" s="45" t="str">
        <f t="shared" ca="1" si="6"/>
        <v/>
      </c>
      <c r="O44" s="45" t="str">
        <f t="shared" ca="1" si="6"/>
        <v/>
      </c>
      <c r="P44" s="92">
        <f t="shared" ca="1" si="6"/>
        <v>0</v>
      </c>
      <c r="Q44" s="92" t="str">
        <f t="shared" ca="1" si="6"/>
        <v/>
      </c>
      <c r="R44" s="92">
        <f t="shared" ca="1" si="6"/>
        <v>0</v>
      </c>
      <c r="S44" s="92" t="str">
        <f t="shared" ca="1" si="5"/>
        <v/>
      </c>
      <c r="T44" s="92" t="str">
        <f t="shared" ca="1" si="5"/>
        <v/>
      </c>
      <c r="U44" s="68"/>
    </row>
    <row r="45" spans="1:21" s="54" customFormat="1" ht="13.5" customHeight="1">
      <c r="A45" s="45" t="str">
        <f t="shared" ref="A45:P60" ca="1" si="7">IF(INDIRECT("제작의뢰서!"&amp;ADDRESS(ROW(),COLUMN()))="","",INDIRECT("제작의뢰서!"&amp;ADDRESS(ROW(),COLUMN())))</f>
        <v/>
      </c>
      <c r="B45" s="45" t="str">
        <f t="shared" ca="1" si="7"/>
        <v/>
      </c>
      <c r="C45" s="45" t="str">
        <f t="shared" ca="1" si="7"/>
        <v/>
      </c>
      <c r="D45" s="92" t="str">
        <f t="shared" ca="1" si="7"/>
        <v/>
      </c>
      <c r="E45" s="92" t="str">
        <f t="shared" ca="1" si="7"/>
        <v/>
      </c>
      <c r="F45" s="92" t="str">
        <f t="shared" ca="1" si="7"/>
        <v/>
      </c>
      <c r="G45" s="92">
        <f t="shared" ca="1" si="7"/>
        <v>0</v>
      </c>
      <c r="H45" s="92">
        <f t="shared" ca="1" si="7"/>
        <v>0</v>
      </c>
      <c r="I45" s="92">
        <f t="shared" ca="1" si="7"/>
        <v>0</v>
      </c>
      <c r="J45" s="45" t="str">
        <f t="shared" ca="1" si="7"/>
        <v/>
      </c>
      <c r="K45" s="45" t="str">
        <f t="shared" ca="1" si="7"/>
        <v/>
      </c>
      <c r="L45" s="45" t="str">
        <f t="shared" ca="1" si="7"/>
        <v/>
      </c>
      <c r="M45" s="45" t="str">
        <f t="shared" ca="1" si="7"/>
        <v/>
      </c>
      <c r="N45" s="45" t="str">
        <f t="shared" ca="1" si="7"/>
        <v/>
      </c>
      <c r="O45" s="45" t="str">
        <f t="shared" ca="1" si="7"/>
        <v/>
      </c>
      <c r="P45" s="92">
        <f t="shared" ca="1" si="7"/>
        <v>0</v>
      </c>
      <c r="Q45" s="92" t="str">
        <f t="shared" ca="1" si="6"/>
        <v/>
      </c>
      <c r="R45" s="92">
        <f t="shared" ca="1" si="6"/>
        <v>0</v>
      </c>
      <c r="S45" s="92" t="str">
        <f t="shared" ca="1" si="5"/>
        <v/>
      </c>
      <c r="T45" s="92" t="str">
        <f t="shared" ca="1" si="5"/>
        <v/>
      </c>
      <c r="U45" s="68"/>
    </row>
    <row r="46" spans="1:21" s="54" customFormat="1" ht="13.5" customHeight="1">
      <c r="A46" s="45" t="str">
        <f t="shared" ca="1" si="7"/>
        <v/>
      </c>
      <c r="B46" s="45" t="str">
        <f t="shared" ca="1" si="7"/>
        <v/>
      </c>
      <c r="C46" s="45" t="str">
        <f t="shared" ca="1" si="7"/>
        <v/>
      </c>
      <c r="D46" s="92" t="str">
        <f t="shared" ca="1" si="7"/>
        <v/>
      </c>
      <c r="E46" s="92" t="str">
        <f t="shared" ca="1" si="7"/>
        <v/>
      </c>
      <c r="F46" s="92" t="str">
        <f t="shared" ca="1" si="7"/>
        <v/>
      </c>
      <c r="G46" s="92">
        <f t="shared" ca="1" si="7"/>
        <v>0</v>
      </c>
      <c r="H46" s="92">
        <f t="shared" ca="1" si="7"/>
        <v>0</v>
      </c>
      <c r="I46" s="92">
        <f t="shared" ca="1" si="7"/>
        <v>0</v>
      </c>
      <c r="J46" s="45" t="str">
        <f t="shared" ca="1" si="7"/>
        <v/>
      </c>
      <c r="K46" s="45" t="str">
        <f t="shared" ca="1" si="7"/>
        <v/>
      </c>
      <c r="L46" s="45" t="str">
        <f t="shared" ca="1" si="7"/>
        <v/>
      </c>
      <c r="M46" s="45" t="str">
        <f t="shared" ca="1" si="7"/>
        <v/>
      </c>
      <c r="N46" s="45" t="str">
        <f t="shared" ca="1" si="7"/>
        <v/>
      </c>
      <c r="O46" s="45" t="str">
        <f t="shared" ca="1" si="7"/>
        <v/>
      </c>
      <c r="P46" s="92">
        <f t="shared" ca="1" si="7"/>
        <v>0</v>
      </c>
      <c r="Q46" s="92" t="str">
        <f t="shared" ca="1" si="6"/>
        <v/>
      </c>
      <c r="R46" s="92">
        <f t="shared" ca="1" si="6"/>
        <v>0</v>
      </c>
      <c r="S46" s="92" t="str">
        <f t="shared" ca="1" si="5"/>
        <v/>
      </c>
      <c r="T46" s="92" t="str">
        <f t="shared" ca="1" si="5"/>
        <v/>
      </c>
      <c r="U46" s="68"/>
    </row>
    <row r="47" spans="1:21" s="54" customFormat="1" ht="13.5" customHeight="1">
      <c r="A47" s="45" t="str">
        <f t="shared" ca="1" si="7"/>
        <v/>
      </c>
      <c r="B47" s="45" t="str">
        <f t="shared" ca="1" si="7"/>
        <v/>
      </c>
      <c r="C47" s="45" t="str">
        <f t="shared" ca="1" si="7"/>
        <v/>
      </c>
      <c r="D47" s="92" t="str">
        <f t="shared" ca="1" si="7"/>
        <v/>
      </c>
      <c r="E47" s="92" t="str">
        <f t="shared" ca="1" si="7"/>
        <v/>
      </c>
      <c r="F47" s="92" t="str">
        <f t="shared" ca="1" si="7"/>
        <v/>
      </c>
      <c r="G47" s="92">
        <f t="shared" ca="1" si="7"/>
        <v>0</v>
      </c>
      <c r="H47" s="92">
        <f t="shared" ca="1" si="7"/>
        <v>0</v>
      </c>
      <c r="I47" s="92">
        <f t="shared" ca="1" si="7"/>
        <v>0</v>
      </c>
      <c r="J47" s="45" t="str">
        <f t="shared" ca="1" si="7"/>
        <v/>
      </c>
      <c r="K47" s="45" t="str">
        <f t="shared" ca="1" si="7"/>
        <v/>
      </c>
      <c r="L47" s="45" t="str">
        <f t="shared" ca="1" si="7"/>
        <v/>
      </c>
      <c r="M47" s="45" t="str">
        <f t="shared" ca="1" si="7"/>
        <v/>
      </c>
      <c r="N47" s="45" t="str">
        <f t="shared" ca="1" si="7"/>
        <v/>
      </c>
      <c r="O47" s="45" t="str">
        <f t="shared" ca="1" si="7"/>
        <v/>
      </c>
      <c r="P47" s="92">
        <f t="shared" ca="1" si="7"/>
        <v>0</v>
      </c>
      <c r="Q47" s="92" t="str">
        <f t="shared" ca="1" si="6"/>
        <v/>
      </c>
      <c r="R47" s="92">
        <f t="shared" ca="1" si="6"/>
        <v>0</v>
      </c>
      <c r="S47" s="92" t="str">
        <f t="shared" ca="1" si="5"/>
        <v/>
      </c>
      <c r="T47" s="92" t="str">
        <f t="shared" ca="1" si="5"/>
        <v/>
      </c>
      <c r="U47" s="68"/>
    </row>
    <row r="48" spans="1:21" s="54" customFormat="1" ht="13.5" customHeight="1">
      <c r="A48" s="45" t="str">
        <f t="shared" ca="1" si="7"/>
        <v/>
      </c>
      <c r="B48" s="45" t="str">
        <f t="shared" ca="1" si="7"/>
        <v/>
      </c>
      <c r="C48" s="45" t="str">
        <f t="shared" ca="1" si="7"/>
        <v/>
      </c>
      <c r="D48" s="92" t="str">
        <f t="shared" ca="1" si="7"/>
        <v/>
      </c>
      <c r="E48" s="92" t="str">
        <f t="shared" ca="1" si="7"/>
        <v/>
      </c>
      <c r="F48" s="92" t="str">
        <f t="shared" ca="1" si="7"/>
        <v/>
      </c>
      <c r="G48" s="92">
        <f t="shared" ca="1" si="7"/>
        <v>0</v>
      </c>
      <c r="H48" s="92">
        <f t="shared" ca="1" si="7"/>
        <v>0</v>
      </c>
      <c r="I48" s="92">
        <f t="shared" ca="1" si="7"/>
        <v>0</v>
      </c>
      <c r="J48" s="45" t="str">
        <f t="shared" ca="1" si="7"/>
        <v/>
      </c>
      <c r="K48" s="45" t="str">
        <f t="shared" ca="1" si="7"/>
        <v/>
      </c>
      <c r="L48" s="45" t="str">
        <f t="shared" ca="1" si="7"/>
        <v/>
      </c>
      <c r="M48" s="45" t="str">
        <f t="shared" ca="1" si="7"/>
        <v/>
      </c>
      <c r="N48" s="45" t="str">
        <f t="shared" ca="1" si="7"/>
        <v/>
      </c>
      <c r="O48" s="45" t="str">
        <f t="shared" ca="1" si="7"/>
        <v/>
      </c>
      <c r="P48" s="92">
        <f t="shared" ca="1" si="7"/>
        <v>0</v>
      </c>
      <c r="Q48" s="92" t="str">
        <f t="shared" ca="1" si="6"/>
        <v/>
      </c>
      <c r="R48" s="92">
        <f t="shared" ca="1" si="6"/>
        <v>0</v>
      </c>
      <c r="S48" s="92" t="str">
        <f t="shared" ca="1" si="5"/>
        <v/>
      </c>
      <c r="T48" s="92" t="str">
        <f t="shared" ca="1" si="5"/>
        <v/>
      </c>
      <c r="U48" s="68"/>
    </row>
    <row r="49" spans="1:21" s="54" customFormat="1" ht="13.5" customHeight="1">
      <c r="A49" s="45" t="str">
        <f t="shared" ca="1" si="7"/>
        <v/>
      </c>
      <c r="B49" s="45" t="str">
        <f t="shared" ca="1" si="7"/>
        <v/>
      </c>
      <c r="C49" s="45" t="str">
        <f t="shared" ca="1" si="7"/>
        <v/>
      </c>
      <c r="D49" s="92" t="str">
        <f t="shared" ca="1" si="7"/>
        <v/>
      </c>
      <c r="E49" s="92" t="str">
        <f t="shared" ca="1" si="7"/>
        <v/>
      </c>
      <c r="F49" s="92" t="str">
        <f t="shared" ca="1" si="7"/>
        <v/>
      </c>
      <c r="G49" s="92">
        <f t="shared" ca="1" si="7"/>
        <v>0</v>
      </c>
      <c r="H49" s="92">
        <f t="shared" ca="1" si="7"/>
        <v>0</v>
      </c>
      <c r="I49" s="92">
        <f t="shared" ca="1" si="7"/>
        <v>0</v>
      </c>
      <c r="J49" s="45" t="str">
        <f t="shared" ca="1" si="7"/>
        <v/>
      </c>
      <c r="K49" s="45" t="str">
        <f t="shared" ca="1" si="7"/>
        <v/>
      </c>
      <c r="L49" s="45" t="str">
        <f t="shared" ca="1" si="7"/>
        <v/>
      </c>
      <c r="M49" s="45" t="str">
        <f t="shared" ca="1" si="7"/>
        <v/>
      </c>
      <c r="N49" s="45" t="str">
        <f t="shared" ca="1" si="7"/>
        <v/>
      </c>
      <c r="O49" s="45" t="str">
        <f t="shared" ca="1" si="7"/>
        <v/>
      </c>
      <c r="P49" s="92">
        <f t="shared" ca="1" si="7"/>
        <v>0</v>
      </c>
      <c r="Q49" s="92" t="str">
        <f t="shared" ca="1" si="6"/>
        <v/>
      </c>
      <c r="R49" s="92">
        <f t="shared" ca="1" si="6"/>
        <v>0</v>
      </c>
      <c r="S49" s="92" t="str">
        <f t="shared" ca="1" si="5"/>
        <v/>
      </c>
      <c r="T49" s="92" t="str">
        <f t="shared" ca="1" si="5"/>
        <v/>
      </c>
      <c r="U49" s="68"/>
    </row>
    <row r="50" spans="1:21" s="54" customFormat="1" ht="13.5" customHeight="1">
      <c r="A50" s="45" t="str">
        <f t="shared" ca="1" si="7"/>
        <v/>
      </c>
      <c r="B50" s="45" t="str">
        <f t="shared" ca="1" si="7"/>
        <v/>
      </c>
      <c r="C50" s="45" t="str">
        <f t="shared" ca="1" si="7"/>
        <v/>
      </c>
      <c r="D50" s="92" t="str">
        <f t="shared" ca="1" si="7"/>
        <v/>
      </c>
      <c r="E50" s="92" t="str">
        <f t="shared" ca="1" si="7"/>
        <v/>
      </c>
      <c r="F50" s="92" t="str">
        <f t="shared" ca="1" si="7"/>
        <v/>
      </c>
      <c r="G50" s="92">
        <f t="shared" ca="1" si="7"/>
        <v>0</v>
      </c>
      <c r="H50" s="92">
        <f t="shared" ca="1" si="7"/>
        <v>0</v>
      </c>
      <c r="I50" s="92">
        <f t="shared" ca="1" si="7"/>
        <v>0</v>
      </c>
      <c r="J50" s="45" t="str">
        <f t="shared" ca="1" si="7"/>
        <v/>
      </c>
      <c r="K50" s="45" t="str">
        <f t="shared" ca="1" si="7"/>
        <v/>
      </c>
      <c r="L50" s="45" t="str">
        <f t="shared" ca="1" si="7"/>
        <v/>
      </c>
      <c r="M50" s="45" t="str">
        <f t="shared" ca="1" si="7"/>
        <v/>
      </c>
      <c r="N50" s="45" t="str">
        <f t="shared" ca="1" si="7"/>
        <v/>
      </c>
      <c r="O50" s="45" t="str">
        <f t="shared" ca="1" si="7"/>
        <v/>
      </c>
      <c r="P50" s="92">
        <f t="shared" ca="1" si="7"/>
        <v>0</v>
      </c>
      <c r="Q50" s="92" t="str">
        <f t="shared" ca="1" si="6"/>
        <v/>
      </c>
      <c r="R50" s="92">
        <f t="shared" ca="1" si="6"/>
        <v>0</v>
      </c>
      <c r="S50" s="92" t="str">
        <f t="shared" ca="1" si="5"/>
        <v/>
      </c>
      <c r="T50" s="92" t="str">
        <f t="shared" ca="1" si="5"/>
        <v/>
      </c>
      <c r="U50" s="68"/>
    </row>
    <row r="51" spans="1:21" s="54" customFormat="1" ht="13.5" customHeight="1">
      <c r="A51" s="45" t="str">
        <f t="shared" ca="1" si="7"/>
        <v/>
      </c>
      <c r="B51" s="45" t="str">
        <f t="shared" ca="1" si="7"/>
        <v/>
      </c>
      <c r="C51" s="45" t="str">
        <f t="shared" ca="1" si="7"/>
        <v/>
      </c>
      <c r="D51" s="92" t="str">
        <f t="shared" ca="1" si="7"/>
        <v/>
      </c>
      <c r="E51" s="92" t="str">
        <f t="shared" ca="1" si="7"/>
        <v/>
      </c>
      <c r="F51" s="92" t="str">
        <f t="shared" ca="1" si="7"/>
        <v/>
      </c>
      <c r="G51" s="92">
        <f t="shared" ca="1" si="7"/>
        <v>0</v>
      </c>
      <c r="H51" s="92">
        <f t="shared" ca="1" si="7"/>
        <v>0</v>
      </c>
      <c r="I51" s="92">
        <f t="shared" ca="1" si="7"/>
        <v>0</v>
      </c>
      <c r="J51" s="45" t="str">
        <f t="shared" ca="1" si="7"/>
        <v/>
      </c>
      <c r="K51" s="45" t="str">
        <f t="shared" ca="1" si="7"/>
        <v/>
      </c>
      <c r="L51" s="45" t="str">
        <f t="shared" ca="1" si="7"/>
        <v/>
      </c>
      <c r="M51" s="45" t="str">
        <f t="shared" ca="1" si="7"/>
        <v/>
      </c>
      <c r="N51" s="45" t="str">
        <f t="shared" ca="1" si="7"/>
        <v/>
      </c>
      <c r="O51" s="45" t="str">
        <f t="shared" ca="1" si="7"/>
        <v/>
      </c>
      <c r="P51" s="92">
        <f t="shared" ca="1" si="7"/>
        <v>0</v>
      </c>
      <c r="Q51" s="92" t="str">
        <f t="shared" ca="1" si="6"/>
        <v/>
      </c>
      <c r="R51" s="92">
        <f t="shared" ca="1" si="6"/>
        <v>0</v>
      </c>
      <c r="S51" s="92" t="str">
        <f t="shared" ca="1" si="5"/>
        <v/>
      </c>
      <c r="T51" s="92" t="str">
        <f t="shared" ca="1" si="5"/>
        <v/>
      </c>
      <c r="U51" s="68"/>
    </row>
    <row r="52" spans="1:21" s="54" customFormat="1" ht="13.5" customHeight="1">
      <c r="A52" s="45" t="str">
        <f t="shared" ca="1" si="7"/>
        <v/>
      </c>
      <c r="B52" s="45" t="str">
        <f t="shared" ca="1" si="7"/>
        <v/>
      </c>
      <c r="C52" s="45" t="str">
        <f t="shared" ca="1" si="7"/>
        <v/>
      </c>
      <c r="D52" s="92" t="str">
        <f t="shared" ca="1" si="7"/>
        <v/>
      </c>
      <c r="E52" s="92" t="str">
        <f t="shared" ca="1" si="7"/>
        <v/>
      </c>
      <c r="F52" s="92" t="str">
        <f t="shared" ca="1" si="7"/>
        <v/>
      </c>
      <c r="G52" s="92">
        <f t="shared" ca="1" si="7"/>
        <v>0</v>
      </c>
      <c r="H52" s="92">
        <f t="shared" ca="1" si="7"/>
        <v>0</v>
      </c>
      <c r="I52" s="92">
        <f t="shared" ca="1" si="7"/>
        <v>0</v>
      </c>
      <c r="J52" s="45" t="str">
        <f t="shared" ca="1" si="7"/>
        <v/>
      </c>
      <c r="K52" s="45" t="str">
        <f t="shared" ca="1" si="7"/>
        <v/>
      </c>
      <c r="L52" s="45" t="str">
        <f t="shared" ca="1" si="7"/>
        <v/>
      </c>
      <c r="M52" s="45" t="str">
        <f t="shared" ca="1" si="7"/>
        <v/>
      </c>
      <c r="N52" s="45" t="str">
        <f t="shared" ca="1" si="7"/>
        <v/>
      </c>
      <c r="O52" s="45" t="str">
        <f t="shared" ca="1" si="7"/>
        <v/>
      </c>
      <c r="P52" s="92">
        <f t="shared" ca="1" si="7"/>
        <v>0</v>
      </c>
      <c r="Q52" s="92" t="str">
        <f t="shared" ca="1" si="6"/>
        <v/>
      </c>
      <c r="R52" s="92">
        <f t="shared" ca="1" si="6"/>
        <v>0</v>
      </c>
      <c r="S52" s="92" t="str">
        <f t="shared" ca="1" si="5"/>
        <v/>
      </c>
      <c r="T52" s="92" t="str">
        <f t="shared" ca="1" si="5"/>
        <v/>
      </c>
      <c r="U52" s="68"/>
    </row>
    <row r="53" spans="1:21" s="54" customFormat="1" ht="13.5" customHeight="1">
      <c r="A53" s="45" t="str">
        <f t="shared" ca="1" si="7"/>
        <v/>
      </c>
      <c r="B53" s="45" t="str">
        <f t="shared" ca="1" si="7"/>
        <v/>
      </c>
      <c r="C53" s="45" t="str">
        <f t="shared" ca="1" si="7"/>
        <v/>
      </c>
      <c r="D53" s="92" t="str">
        <f t="shared" ca="1" si="7"/>
        <v/>
      </c>
      <c r="E53" s="92" t="str">
        <f t="shared" ca="1" si="7"/>
        <v/>
      </c>
      <c r="F53" s="92" t="str">
        <f t="shared" ca="1" si="7"/>
        <v/>
      </c>
      <c r="G53" s="92">
        <f t="shared" ca="1" si="7"/>
        <v>0</v>
      </c>
      <c r="H53" s="92">
        <f t="shared" ca="1" si="7"/>
        <v>0</v>
      </c>
      <c r="I53" s="92">
        <f t="shared" ca="1" si="7"/>
        <v>0</v>
      </c>
      <c r="J53" s="45" t="str">
        <f t="shared" ca="1" si="7"/>
        <v/>
      </c>
      <c r="K53" s="45" t="str">
        <f t="shared" ca="1" si="7"/>
        <v/>
      </c>
      <c r="L53" s="45" t="str">
        <f t="shared" ca="1" si="7"/>
        <v/>
      </c>
      <c r="M53" s="45" t="str">
        <f t="shared" ca="1" si="7"/>
        <v/>
      </c>
      <c r="N53" s="45" t="str">
        <f t="shared" ca="1" si="7"/>
        <v/>
      </c>
      <c r="O53" s="45" t="str">
        <f t="shared" ca="1" si="7"/>
        <v/>
      </c>
      <c r="P53" s="92">
        <f t="shared" ca="1" si="7"/>
        <v>0</v>
      </c>
      <c r="Q53" s="92" t="str">
        <f t="shared" ca="1" si="6"/>
        <v/>
      </c>
      <c r="R53" s="92">
        <f t="shared" ca="1" si="6"/>
        <v>0</v>
      </c>
      <c r="S53" s="92" t="str">
        <f t="shared" ca="1" si="5"/>
        <v/>
      </c>
      <c r="T53" s="92" t="str">
        <f t="shared" ca="1" si="5"/>
        <v/>
      </c>
      <c r="U53" s="68"/>
    </row>
    <row r="54" spans="1:21" s="54" customFormat="1" ht="13.5" customHeight="1">
      <c r="A54" s="45" t="str">
        <f t="shared" ca="1" si="7"/>
        <v/>
      </c>
      <c r="B54" s="45" t="str">
        <f t="shared" ca="1" si="7"/>
        <v/>
      </c>
      <c r="C54" s="45" t="str">
        <f t="shared" ca="1" si="7"/>
        <v/>
      </c>
      <c r="D54" s="92" t="str">
        <f t="shared" ca="1" si="7"/>
        <v/>
      </c>
      <c r="E54" s="92" t="str">
        <f t="shared" ca="1" si="7"/>
        <v/>
      </c>
      <c r="F54" s="92" t="str">
        <f t="shared" ca="1" si="7"/>
        <v/>
      </c>
      <c r="G54" s="92">
        <f t="shared" ca="1" si="7"/>
        <v>0</v>
      </c>
      <c r="H54" s="92">
        <f t="shared" ca="1" si="7"/>
        <v>0</v>
      </c>
      <c r="I54" s="92">
        <f t="shared" ca="1" si="7"/>
        <v>0</v>
      </c>
      <c r="J54" s="45" t="str">
        <f t="shared" ca="1" si="7"/>
        <v/>
      </c>
      <c r="K54" s="45" t="str">
        <f t="shared" ca="1" si="7"/>
        <v/>
      </c>
      <c r="L54" s="45" t="str">
        <f t="shared" ca="1" si="7"/>
        <v/>
      </c>
      <c r="M54" s="45" t="str">
        <f t="shared" ca="1" si="7"/>
        <v/>
      </c>
      <c r="N54" s="45" t="str">
        <f t="shared" ca="1" si="7"/>
        <v/>
      </c>
      <c r="O54" s="45" t="str">
        <f t="shared" ca="1" si="7"/>
        <v/>
      </c>
      <c r="P54" s="92">
        <f t="shared" ca="1" si="7"/>
        <v>0</v>
      </c>
      <c r="Q54" s="92" t="str">
        <f t="shared" ca="1" si="6"/>
        <v/>
      </c>
      <c r="R54" s="92">
        <f t="shared" ca="1" si="6"/>
        <v>0</v>
      </c>
      <c r="S54" s="92" t="str">
        <f t="shared" ca="1" si="5"/>
        <v/>
      </c>
      <c r="T54" s="92" t="str">
        <f t="shared" ca="1" si="5"/>
        <v/>
      </c>
      <c r="U54" s="68"/>
    </row>
    <row r="55" spans="1:21" s="54" customFormat="1" ht="13.5" customHeight="1">
      <c r="A55" s="45" t="str">
        <f t="shared" ca="1" si="7"/>
        <v/>
      </c>
      <c r="B55" s="45" t="str">
        <f t="shared" ca="1" si="7"/>
        <v/>
      </c>
      <c r="C55" s="45" t="str">
        <f t="shared" ca="1" si="7"/>
        <v/>
      </c>
      <c r="D55" s="92" t="str">
        <f t="shared" ca="1" si="7"/>
        <v/>
      </c>
      <c r="E55" s="92" t="str">
        <f t="shared" ca="1" si="7"/>
        <v/>
      </c>
      <c r="F55" s="92" t="str">
        <f t="shared" ca="1" si="7"/>
        <v/>
      </c>
      <c r="G55" s="92">
        <f t="shared" ca="1" si="7"/>
        <v>0</v>
      </c>
      <c r="H55" s="92">
        <f t="shared" ca="1" si="7"/>
        <v>0</v>
      </c>
      <c r="I55" s="92">
        <f t="shared" ca="1" si="7"/>
        <v>0</v>
      </c>
      <c r="J55" s="45" t="str">
        <f t="shared" ca="1" si="7"/>
        <v/>
      </c>
      <c r="K55" s="45" t="str">
        <f t="shared" ca="1" si="7"/>
        <v/>
      </c>
      <c r="L55" s="45" t="str">
        <f t="shared" ca="1" si="7"/>
        <v/>
      </c>
      <c r="M55" s="45" t="str">
        <f t="shared" ca="1" si="7"/>
        <v/>
      </c>
      <c r="N55" s="45" t="str">
        <f t="shared" ca="1" si="7"/>
        <v/>
      </c>
      <c r="O55" s="45" t="str">
        <f t="shared" ca="1" si="7"/>
        <v/>
      </c>
      <c r="P55" s="92">
        <f t="shared" ca="1" si="7"/>
        <v>0</v>
      </c>
      <c r="Q55" s="92" t="str">
        <f t="shared" ca="1" si="6"/>
        <v/>
      </c>
      <c r="R55" s="92">
        <f t="shared" ca="1" si="6"/>
        <v>0</v>
      </c>
      <c r="S55" s="92" t="str">
        <f t="shared" ca="1" si="5"/>
        <v/>
      </c>
      <c r="T55" s="92" t="str">
        <f t="shared" ca="1" si="5"/>
        <v/>
      </c>
      <c r="U55" s="68"/>
    </row>
    <row r="56" spans="1:21" s="54" customFormat="1" ht="13.5" customHeight="1">
      <c r="A56" s="45" t="str">
        <f t="shared" ca="1" si="7"/>
        <v/>
      </c>
      <c r="B56" s="45" t="str">
        <f t="shared" ca="1" si="7"/>
        <v/>
      </c>
      <c r="C56" s="45" t="str">
        <f t="shared" ca="1" si="7"/>
        <v/>
      </c>
      <c r="D56" s="92" t="str">
        <f t="shared" ca="1" si="7"/>
        <v/>
      </c>
      <c r="E56" s="92" t="str">
        <f t="shared" ca="1" si="7"/>
        <v/>
      </c>
      <c r="F56" s="92" t="str">
        <f t="shared" ca="1" si="7"/>
        <v/>
      </c>
      <c r="G56" s="92">
        <f t="shared" ca="1" si="7"/>
        <v>0</v>
      </c>
      <c r="H56" s="92">
        <f t="shared" ca="1" si="7"/>
        <v>0</v>
      </c>
      <c r="I56" s="92">
        <f t="shared" ca="1" si="7"/>
        <v>0</v>
      </c>
      <c r="J56" s="45" t="str">
        <f t="shared" ca="1" si="7"/>
        <v/>
      </c>
      <c r="K56" s="45" t="str">
        <f t="shared" ca="1" si="7"/>
        <v/>
      </c>
      <c r="L56" s="45" t="str">
        <f t="shared" ca="1" si="7"/>
        <v/>
      </c>
      <c r="M56" s="45" t="str">
        <f t="shared" ca="1" si="7"/>
        <v/>
      </c>
      <c r="N56" s="45" t="str">
        <f t="shared" ca="1" si="7"/>
        <v/>
      </c>
      <c r="O56" s="45" t="str">
        <f t="shared" ca="1" si="7"/>
        <v/>
      </c>
      <c r="P56" s="92">
        <f t="shared" ca="1" si="7"/>
        <v>0</v>
      </c>
      <c r="Q56" s="92" t="str">
        <f t="shared" ca="1" si="6"/>
        <v/>
      </c>
      <c r="R56" s="92">
        <f t="shared" ca="1" si="6"/>
        <v>0</v>
      </c>
      <c r="S56" s="92" t="str">
        <f t="shared" ca="1" si="5"/>
        <v/>
      </c>
      <c r="T56" s="92" t="str">
        <f t="shared" ca="1" si="5"/>
        <v/>
      </c>
      <c r="U56" s="68"/>
    </row>
    <row r="57" spans="1:21" s="54" customFormat="1" ht="13.5" customHeight="1">
      <c r="A57" s="45" t="str">
        <f t="shared" ca="1" si="7"/>
        <v/>
      </c>
      <c r="B57" s="45" t="str">
        <f t="shared" ca="1" si="7"/>
        <v/>
      </c>
      <c r="C57" s="45" t="str">
        <f t="shared" ca="1" si="7"/>
        <v/>
      </c>
      <c r="D57" s="92" t="str">
        <f t="shared" ca="1" si="7"/>
        <v/>
      </c>
      <c r="E57" s="92" t="str">
        <f t="shared" ca="1" si="7"/>
        <v/>
      </c>
      <c r="F57" s="92" t="str">
        <f t="shared" ca="1" si="7"/>
        <v/>
      </c>
      <c r="G57" s="92">
        <f t="shared" ca="1" si="7"/>
        <v>0</v>
      </c>
      <c r="H57" s="92">
        <f t="shared" ca="1" si="7"/>
        <v>0</v>
      </c>
      <c r="I57" s="92">
        <f t="shared" ca="1" si="7"/>
        <v>0</v>
      </c>
      <c r="J57" s="45" t="str">
        <f t="shared" ca="1" si="7"/>
        <v/>
      </c>
      <c r="K57" s="45" t="str">
        <f t="shared" ca="1" si="7"/>
        <v/>
      </c>
      <c r="L57" s="45" t="str">
        <f t="shared" ca="1" si="7"/>
        <v/>
      </c>
      <c r="M57" s="45" t="str">
        <f t="shared" ca="1" si="7"/>
        <v/>
      </c>
      <c r="N57" s="45" t="str">
        <f t="shared" ca="1" si="7"/>
        <v/>
      </c>
      <c r="O57" s="45" t="str">
        <f t="shared" ca="1" si="7"/>
        <v/>
      </c>
      <c r="P57" s="92">
        <f t="shared" ca="1" si="7"/>
        <v>0</v>
      </c>
      <c r="Q57" s="92" t="str">
        <f t="shared" ca="1" si="6"/>
        <v/>
      </c>
      <c r="R57" s="92">
        <f t="shared" ca="1" si="6"/>
        <v>0</v>
      </c>
      <c r="S57" s="92" t="str">
        <f t="shared" ca="1" si="5"/>
        <v/>
      </c>
      <c r="T57" s="92" t="str">
        <f t="shared" ca="1" si="5"/>
        <v/>
      </c>
      <c r="U57" s="68"/>
    </row>
    <row r="58" spans="1:21" s="54" customFormat="1" ht="13.5" customHeight="1">
      <c r="A58" s="45" t="str">
        <f t="shared" ca="1" si="7"/>
        <v/>
      </c>
      <c r="B58" s="45" t="str">
        <f t="shared" ca="1" si="7"/>
        <v/>
      </c>
      <c r="C58" s="45" t="str">
        <f t="shared" ca="1" si="7"/>
        <v/>
      </c>
      <c r="D58" s="92" t="str">
        <f t="shared" ca="1" si="7"/>
        <v/>
      </c>
      <c r="E58" s="92" t="str">
        <f t="shared" ca="1" si="7"/>
        <v/>
      </c>
      <c r="F58" s="92" t="str">
        <f t="shared" ca="1" si="7"/>
        <v/>
      </c>
      <c r="G58" s="92">
        <f t="shared" ca="1" si="7"/>
        <v>0</v>
      </c>
      <c r="H58" s="92">
        <f t="shared" ca="1" si="7"/>
        <v>0</v>
      </c>
      <c r="I58" s="92">
        <f t="shared" ca="1" si="7"/>
        <v>0</v>
      </c>
      <c r="J58" s="45" t="str">
        <f t="shared" ca="1" si="7"/>
        <v/>
      </c>
      <c r="K58" s="45" t="str">
        <f t="shared" ca="1" si="7"/>
        <v/>
      </c>
      <c r="L58" s="45" t="str">
        <f t="shared" ca="1" si="7"/>
        <v/>
      </c>
      <c r="M58" s="45" t="str">
        <f t="shared" ca="1" si="7"/>
        <v/>
      </c>
      <c r="N58" s="45" t="str">
        <f t="shared" ca="1" si="7"/>
        <v/>
      </c>
      <c r="O58" s="45" t="str">
        <f t="shared" ca="1" si="7"/>
        <v/>
      </c>
      <c r="P58" s="92">
        <f t="shared" ca="1" si="7"/>
        <v>0</v>
      </c>
      <c r="Q58" s="92" t="str">
        <f t="shared" ca="1" si="6"/>
        <v/>
      </c>
      <c r="R58" s="92">
        <f t="shared" ca="1" si="6"/>
        <v>0</v>
      </c>
      <c r="S58" s="92" t="str">
        <f t="shared" ca="1" si="5"/>
        <v/>
      </c>
      <c r="T58" s="92" t="str">
        <f t="shared" ca="1" si="5"/>
        <v/>
      </c>
      <c r="U58" s="68"/>
    </row>
    <row r="59" spans="1:21" s="54" customFormat="1" ht="13.5" customHeight="1">
      <c r="A59" s="45" t="str">
        <f t="shared" ca="1" si="7"/>
        <v/>
      </c>
      <c r="B59" s="45" t="str">
        <f t="shared" ca="1" si="7"/>
        <v/>
      </c>
      <c r="C59" s="45" t="str">
        <f t="shared" ca="1" si="7"/>
        <v/>
      </c>
      <c r="D59" s="92" t="str">
        <f t="shared" ca="1" si="7"/>
        <v/>
      </c>
      <c r="E59" s="92" t="str">
        <f t="shared" ca="1" si="7"/>
        <v/>
      </c>
      <c r="F59" s="92" t="str">
        <f t="shared" ca="1" si="7"/>
        <v/>
      </c>
      <c r="G59" s="92">
        <f t="shared" ca="1" si="7"/>
        <v>0</v>
      </c>
      <c r="H59" s="92">
        <f t="shared" ca="1" si="7"/>
        <v>0</v>
      </c>
      <c r="I59" s="92">
        <f t="shared" ca="1" si="7"/>
        <v>0</v>
      </c>
      <c r="J59" s="45" t="str">
        <f t="shared" ca="1" si="7"/>
        <v/>
      </c>
      <c r="K59" s="45" t="str">
        <f t="shared" ca="1" si="7"/>
        <v/>
      </c>
      <c r="L59" s="45" t="str">
        <f t="shared" ca="1" si="7"/>
        <v/>
      </c>
      <c r="M59" s="45" t="str">
        <f t="shared" ca="1" si="7"/>
        <v/>
      </c>
      <c r="N59" s="45" t="str">
        <f t="shared" ca="1" si="7"/>
        <v/>
      </c>
      <c r="O59" s="45" t="str">
        <f t="shared" ca="1" si="7"/>
        <v/>
      </c>
      <c r="P59" s="92">
        <f t="shared" ca="1" si="7"/>
        <v>0</v>
      </c>
      <c r="Q59" s="92" t="str">
        <f t="shared" ca="1" si="6"/>
        <v/>
      </c>
      <c r="R59" s="92">
        <f t="shared" ca="1" si="6"/>
        <v>0</v>
      </c>
      <c r="S59" s="92" t="str">
        <f t="shared" ca="1" si="5"/>
        <v/>
      </c>
      <c r="T59" s="92" t="str">
        <f t="shared" ca="1" si="5"/>
        <v/>
      </c>
      <c r="U59" s="68"/>
    </row>
    <row r="60" spans="1:21" s="54" customFormat="1" ht="13.5" customHeight="1">
      <c r="A60" s="45" t="str">
        <f t="shared" ca="1" si="7"/>
        <v/>
      </c>
      <c r="B60" s="45" t="str">
        <f t="shared" ca="1" si="7"/>
        <v/>
      </c>
      <c r="C60" s="45" t="str">
        <f t="shared" ca="1" si="7"/>
        <v/>
      </c>
      <c r="D60" s="92" t="str">
        <f t="shared" ca="1" si="7"/>
        <v/>
      </c>
      <c r="E60" s="92" t="str">
        <f t="shared" ca="1" si="7"/>
        <v/>
      </c>
      <c r="F60" s="92" t="str">
        <f t="shared" ca="1" si="7"/>
        <v/>
      </c>
      <c r="G60" s="92">
        <f t="shared" ca="1" si="7"/>
        <v>0</v>
      </c>
      <c r="H60" s="92">
        <f t="shared" ca="1" si="7"/>
        <v>0</v>
      </c>
      <c r="I60" s="92">
        <f t="shared" ca="1" si="7"/>
        <v>0</v>
      </c>
      <c r="J60" s="45" t="str">
        <f t="shared" ca="1" si="7"/>
        <v/>
      </c>
      <c r="K60" s="45" t="str">
        <f t="shared" ca="1" si="7"/>
        <v/>
      </c>
      <c r="L60" s="45" t="str">
        <f t="shared" ca="1" si="7"/>
        <v/>
      </c>
      <c r="M60" s="45" t="str">
        <f t="shared" ca="1" si="7"/>
        <v/>
      </c>
      <c r="N60" s="45" t="str">
        <f t="shared" ca="1" si="7"/>
        <v/>
      </c>
      <c r="O60" s="45" t="str">
        <f t="shared" ca="1" si="7"/>
        <v/>
      </c>
      <c r="P60" s="92">
        <f t="shared" ref="P60:T75" ca="1" si="8">IF(INDIRECT("제작의뢰서!"&amp;ADDRESS(ROW(),COLUMN()))="","",INDIRECT("제작의뢰서!"&amp;ADDRESS(ROW(),COLUMN())))</f>
        <v>0</v>
      </c>
      <c r="Q60" s="92" t="str">
        <f t="shared" ca="1" si="8"/>
        <v/>
      </c>
      <c r="R60" s="92">
        <f t="shared" ca="1" si="8"/>
        <v>0</v>
      </c>
      <c r="S60" s="92" t="str">
        <f t="shared" ca="1" si="8"/>
        <v/>
      </c>
      <c r="T60" s="92" t="str">
        <f t="shared" ca="1" si="8"/>
        <v/>
      </c>
      <c r="U60" s="68"/>
    </row>
    <row r="61" spans="1:21" s="54" customFormat="1" ht="13.5" customHeight="1">
      <c r="A61" s="45" t="str">
        <f t="shared" ref="A61:P76" ca="1" si="9">IF(INDIRECT("제작의뢰서!"&amp;ADDRESS(ROW(),COLUMN()))="","",INDIRECT("제작의뢰서!"&amp;ADDRESS(ROW(),COLUMN())))</f>
        <v/>
      </c>
      <c r="B61" s="45" t="str">
        <f t="shared" ca="1" si="9"/>
        <v/>
      </c>
      <c r="C61" s="45" t="str">
        <f t="shared" ca="1" si="9"/>
        <v/>
      </c>
      <c r="D61" s="92" t="str">
        <f t="shared" ca="1" si="9"/>
        <v/>
      </c>
      <c r="E61" s="92" t="str">
        <f t="shared" ca="1" si="9"/>
        <v/>
      </c>
      <c r="F61" s="92" t="str">
        <f t="shared" ca="1" si="9"/>
        <v/>
      </c>
      <c r="G61" s="92">
        <f t="shared" ca="1" si="9"/>
        <v>0</v>
      </c>
      <c r="H61" s="92">
        <f t="shared" ca="1" si="9"/>
        <v>0</v>
      </c>
      <c r="I61" s="92">
        <f t="shared" ca="1" si="9"/>
        <v>0</v>
      </c>
      <c r="J61" s="45" t="str">
        <f t="shared" ca="1" si="9"/>
        <v/>
      </c>
      <c r="K61" s="45" t="str">
        <f t="shared" ca="1" si="9"/>
        <v/>
      </c>
      <c r="L61" s="45" t="str">
        <f t="shared" ca="1" si="9"/>
        <v/>
      </c>
      <c r="M61" s="45" t="str">
        <f t="shared" ca="1" si="9"/>
        <v/>
      </c>
      <c r="N61" s="45" t="str">
        <f t="shared" ca="1" si="9"/>
        <v/>
      </c>
      <c r="O61" s="45" t="str">
        <f t="shared" ca="1" si="9"/>
        <v/>
      </c>
      <c r="P61" s="92">
        <f t="shared" ca="1" si="9"/>
        <v>0</v>
      </c>
      <c r="Q61" s="92" t="str">
        <f t="shared" ca="1" si="8"/>
        <v/>
      </c>
      <c r="R61" s="92">
        <f t="shared" ca="1" si="8"/>
        <v>0</v>
      </c>
      <c r="S61" s="92" t="str">
        <f t="shared" ca="1" si="8"/>
        <v/>
      </c>
      <c r="T61" s="92" t="str">
        <f t="shared" ca="1" si="8"/>
        <v/>
      </c>
      <c r="U61" s="68"/>
    </row>
    <row r="62" spans="1:21" s="54" customFormat="1" ht="13.5" customHeight="1">
      <c r="A62" s="45" t="str">
        <f t="shared" ca="1" si="9"/>
        <v/>
      </c>
      <c r="B62" s="45" t="str">
        <f t="shared" ca="1" si="9"/>
        <v/>
      </c>
      <c r="C62" s="45" t="str">
        <f t="shared" ca="1" si="9"/>
        <v/>
      </c>
      <c r="D62" s="92" t="str">
        <f t="shared" ca="1" si="9"/>
        <v/>
      </c>
      <c r="E62" s="92" t="str">
        <f t="shared" ca="1" si="9"/>
        <v/>
      </c>
      <c r="F62" s="92" t="str">
        <f t="shared" ca="1" si="9"/>
        <v/>
      </c>
      <c r="G62" s="92">
        <f t="shared" ca="1" si="9"/>
        <v>0</v>
      </c>
      <c r="H62" s="92">
        <f t="shared" ca="1" si="9"/>
        <v>0</v>
      </c>
      <c r="I62" s="92">
        <f t="shared" ca="1" si="9"/>
        <v>0</v>
      </c>
      <c r="J62" s="45" t="str">
        <f t="shared" ca="1" si="9"/>
        <v/>
      </c>
      <c r="K62" s="45" t="str">
        <f t="shared" ca="1" si="9"/>
        <v/>
      </c>
      <c r="L62" s="45" t="str">
        <f t="shared" ca="1" si="9"/>
        <v/>
      </c>
      <c r="M62" s="45" t="str">
        <f t="shared" ca="1" si="9"/>
        <v/>
      </c>
      <c r="N62" s="45" t="str">
        <f t="shared" ca="1" si="9"/>
        <v/>
      </c>
      <c r="O62" s="45" t="str">
        <f t="shared" ca="1" si="9"/>
        <v/>
      </c>
      <c r="P62" s="92">
        <f t="shared" ca="1" si="9"/>
        <v>0</v>
      </c>
      <c r="Q62" s="92" t="str">
        <f t="shared" ca="1" si="8"/>
        <v/>
      </c>
      <c r="R62" s="92">
        <f t="shared" ca="1" si="8"/>
        <v>0</v>
      </c>
      <c r="S62" s="92" t="str">
        <f t="shared" ca="1" si="8"/>
        <v/>
      </c>
      <c r="T62" s="92" t="str">
        <f t="shared" ca="1" si="8"/>
        <v/>
      </c>
      <c r="U62" s="68"/>
    </row>
    <row r="63" spans="1:21" s="54" customFormat="1" ht="13.5" customHeight="1">
      <c r="A63" s="45" t="str">
        <f t="shared" ca="1" si="9"/>
        <v/>
      </c>
      <c r="B63" s="45" t="str">
        <f t="shared" ca="1" si="9"/>
        <v/>
      </c>
      <c r="C63" s="45" t="str">
        <f t="shared" ca="1" si="9"/>
        <v/>
      </c>
      <c r="D63" s="92" t="str">
        <f t="shared" ca="1" si="9"/>
        <v/>
      </c>
      <c r="E63" s="92" t="str">
        <f t="shared" ca="1" si="9"/>
        <v/>
      </c>
      <c r="F63" s="92" t="str">
        <f t="shared" ca="1" si="9"/>
        <v/>
      </c>
      <c r="G63" s="92">
        <f t="shared" ca="1" si="9"/>
        <v>0</v>
      </c>
      <c r="H63" s="92">
        <f t="shared" ca="1" si="9"/>
        <v>0</v>
      </c>
      <c r="I63" s="92">
        <f t="shared" ca="1" si="9"/>
        <v>0</v>
      </c>
      <c r="J63" s="45" t="str">
        <f t="shared" ca="1" si="9"/>
        <v/>
      </c>
      <c r="K63" s="45" t="str">
        <f t="shared" ca="1" si="9"/>
        <v/>
      </c>
      <c r="L63" s="45" t="str">
        <f t="shared" ca="1" si="9"/>
        <v/>
      </c>
      <c r="M63" s="45" t="str">
        <f t="shared" ca="1" si="9"/>
        <v/>
      </c>
      <c r="N63" s="45" t="str">
        <f t="shared" ca="1" si="9"/>
        <v/>
      </c>
      <c r="O63" s="45" t="str">
        <f t="shared" ca="1" si="9"/>
        <v/>
      </c>
      <c r="P63" s="92">
        <f t="shared" ca="1" si="9"/>
        <v>0</v>
      </c>
      <c r="Q63" s="92" t="str">
        <f t="shared" ca="1" si="8"/>
        <v/>
      </c>
      <c r="R63" s="92">
        <f t="shared" ca="1" si="8"/>
        <v>0</v>
      </c>
      <c r="S63" s="92" t="str">
        <f t="shared" ca="1" si="8"/>
        <v/>
      </c>
      <c r="T63" s="92" t="str">
        <f t="shared" ca="1" si="8"/>
        <v/>
      </c>
      <c r="U63" s="68"/>
    </row>
    <row r="64" spans="1:21" s="54" customFormat="1" ht="13.5" customHeight="1">
      <c r="A64" s="45" t="str">
        <f t="shared" ca="1" si="9"/>
        <v/>
      </c>
      <c r="B64" s="45" t="str">
        <f t="shared" ca="1" si="9"/>
        <v/>
      </c>
      <c r="C64" s="45" t="str">
        <f t="shared" ca="1" si="9"/>
        <v/>
      </c>
      <c r="D64" s="92" t="str">
        <f t="shared" ca="1" si="9"/>
        <v/>
      </c>
      <c r="E64" s="92" t="str">
        <f t="shared" ca="1" si="9"/>
        <v/>
      </c>
      <c r="F64" s="92" t="str">
        <f t="shared" ca="1" si="9"/>
        <v/>
      </c>
      <c r="G64" s="92">
        <f t="shared" ca="1" si="9"/>
        <v>0</v>
      </c>
      <c r="H64" s="92">
        <f t="shared" ca="1" si="9"/>
        <v>0</v>
      </c>
      <c r="I64" s="92">
        <f t="shared" ca="1" si="9"/>
        <v>0</v>
      </c>
      <c r="J64" s="45" t="str">
        <f t="shared" ca="1" si="9"/>
        <v/>
      </c>
      <c r="K64" s="45" t="str">
        <f t="shared" ca="1" si="9"/>
        <v/>
      </c>
      <c r="L64" s="45" t="str">
        <f t="shared" ca="1" si="9"/>
        <v/>
      </c>
      <c r="M64" s="45" t="str">
        <f t="shared" ca="1" si="9"/>
        <v/>
      </c>
      <c r="N64" s="45" t="str">
        <f t="shared" ca="1" si="9"/>
        <v/>
      </c>
      <c r="O64" s="45" t="str">
        <f t="shared" ca="1" si="9"/>
        <v/>
      </c>
      <c r="P64" s="92">
        <f t="shared" ca="1" si="9"/>
        <v>0</v>
      </c>
      <c r="Q64" s="92" t="str">
        <f t="shared" ca="1" si="8"/>
        <v/>
      </c>
      <c r="R64" s="92">
        <f t="shared" ca="1" si="8"/>
        <v>0</v>
      </c>
      <c r="S64" s="92" t="str">
        <f t="shared" ca="1" si="8"/>
        <v/>
      </c>
      <c r="T64" s="92" t="str">
        <f t="shared" ca="1" si="8"/>
        <v/>
      </c>
      <c r="U64" s="68"/>
    </row>
    <row r="65" spans="1:21" s="54" customFormat="1" ht="13.5" customHeight="1">
      <c r="A65" s="45" t="str">
        <f t="shared" ca="1" si="9"/>
        <v/>
      </c>
      <c r="B65" s="45" t="str">
        <f t="shared" ca="1" si="9"/>
        <v/>
      </c>
      <c r="C65" s="45" t="str">
        <f t="shared" ca="1" si="9"/>
        <v/>
      </c>
      <c r="D65" s="92" t="str">
        <f t="shared" ca="1" si="9"/>
        <v/>
      </c>
      <c r="E65" s="92" t="str">
        <f t="shared" ca="1" si="9"/>
        <v/>
      </c>
      <c r="F65" s="92" t="str">
        <f t="shared" ca="1" si="9"/>
        <v/>
      </c>
      <c r="G65" s="92">
        <f t="shared" ca="1" si="9"/>
        <v>0</v>
      </c>
      <c r="H65" s="92">
        <f t="shared" ca="1" si="9"/>
        <v>0</v>
      </c>
      <c r="I65" s="92">
        <f t="shared" ca="1" si="9"/>
        <v>0</v>
      </c>
      <c r="J65" s="45" t="str">
        <f t="shared" ca="1" si="9"/>
        <v/>
      </c>
      <c r="K65" s="45" t="str">
        <f t="shared" ca="1" si="9"/>
        <v/>
      </c>
      <c r="L65" s="45" t="str">
        <f t="shared" ca="1" si="9"/>
        <v/>
      </c>
      <c r="M65" s="45" t="str">
        <f t="shared" ca="1" si="9"/>
        <v/>
      </c>
      <c r="N65" s="45" t="str">
        <f t="shared" ca="1" si="9"/>
        <v/>
      </c>
      <c r="O65" s="45" t="str">
        <f t="shared" ca="1" si="9"/>
        <v/>
      </c>
      <c r="P65" s="92">
        <f t="shared" ca="1" si="9"/>
        <v>0</v>
      </c>
      <c r="Q65" s="92" t="str">
        <f t="shared" ca="1" si="8"/>
        <v/>
      </c>
      <c r="R65" s="92">
        <f t="shared" ca="1" si="8"/>
        <v>0</v>
      </c>
      <c r="S65" s="92" t="str">
        <f t="shared" ca="1" si="8"/>
        <v/>
      </c>
      <c r="T65" s="92" t="str">
        <f t="shared" ca="1" si="8"/>
        <v/>
      </c>
      <c r="U65" s="68"/>
    </row>
    <row r="66" spans="1:21" s="54" customFormat="1" ht="13.5" customHeight="1">
      <c r="A66" s="45" t="str">
        <f t="shared" ca="1" si="9"/>
        <v/>
      </c>
      <c r="B66" s="45" t="str">
        <f t="shared" ca="1" si="9"/>
        <v/>
      </c>
      <c r="C66" s="45" t="str">
        <f t="shared" ca="1" si="9"/>
        <v/>
      </c>
      <c r="D66" s="92" t="str">
        <f t="shared" ca="1" si="9"/>
        <v/>
      </c>
      <c r="E66" s="92" t="str">
        <f t="shared" ca="1" si="9"/>
        <v/>
      </c>
      <c r="F66" s="92" t="str">
        <f t="shared" ca="1" si="9"/>
        <v/>
      </c>
      <c r="G66" s="92">
        <f t="shared" ca="1" si="9"/>
        <v>0</v>
      </c>
      <c r="H66" s="92">
        <f t="shared" ca="1" si="9"/>
        <v>0</v>
      </c>
      <c r="I66" s="92">
        <f t="shared" ca="1" si="9"/>
        <v>0</v>
      </c>
      <c r="J66" s="45" t="str">
        <f t="shared" ca="1" si="9"/>
        <v/>
      </c>
      <c r="K66" s="45" t="str">
        <f t="shared" ca="1" si="9"/>
        <v/>
      </c>
      <c r="L66" s="45" t="str">
        <f t="shared" ca="1" si="9"/>
        <v/>
      </c>
      <c r="M66" s="45" t="str">
        <f t="shared" ca="1" si="9"/>
        <v/>
      </c>
      <c r="N66" s="45" t="str">
        <f t="shared" ca="1" si="9"/>
        <v/>
      </c>
      <c r="O66" s="45" t="str">
        <f t="shared" ca="1" si="9"/>
        <v/>
      </c>
      <c r="P66" s="92">
        <f t="shared" ca="1" si="9"/>
        <v>0</v>
      </c>
      <c r="Q66" s="92" t="str">
        <f t="shared" ca="1" si="8"/>
        <v/>
      </c>
      <c r="R66" s="92">
        <f t="shared" ca="1" si="8"/>
        <v>0</v>
      </c>
      <c r="S66" s="92" t="str">
        <f t="shared" ca="1" si="8"/>
        <v/>
      </c>
      <c r="T66" s="92" t="str">
        <f t="shared" ca="1" si="8"/>
        <v/>
      </c>
      <c r="U66" s="68"/>
    </row>
    <row r="67" spans="1:21" s="54" customFormat="1" ht="13.5" customHeight="1">
      <c r="A67" s="45" t="str">
        <f t="shared" ca="1" si="9"/>
        <v/>
      </c>
      <c r="B67" s="45" t="str">
        <f t="shared" ca="1" si="9"/>
        <v/>
      </c>
      <c r="C67" s="45" t="str">
        <f t="shared" ca="1" si="9"/>
        <v/>
      </c>
      <c r="D67" s="92" t="str">
        <f t="shared" ca="1" si="9"/>
        <v/>
      </c>
      <c r="E67" s="92" t="str">
        <f t="shared" ca="1" si="9"/>
        <v/>
      </c>
      <c r="F67" s="92" t="str">
        <f t="shared" ca="1" si="9"/>
        <v/>
      </c>
      <c r="G67" s="92">
        <f t="shared" ca="1" si="9"/>
        <v>0</v>
      </c>
      <c r="H67" s="92">
        <f t="shared" ca="1" si="9"/>
        <v>0</v>
      </c>
      <c r="I67" s="92">
        <f t="shared" ca="1" si="9"/>
        <v>0</v>
      </c>
      <c r="J67" s="45" t="str">
        <f t="shared" ca="1" si="9"/>
        <v/>
      </c>
      <c r="K67" s="45" t="str">
        <f t="shared" ca="1" si="9"/>
        <v/>
      </c>
      <c r="L67" s="45" t="str">
        <f t="shared" ca="1" si="9"/>
        <v/>
      </c>
      <c r="M67" s="45" t="str">
        <f t="shared" ca="1" si="9"/>
        <v/>
      </c>
      <c r="N67" s="45" t="str">
        <f t="shared" ca="1" si="9"/>
        <v/>
      </c>
      <c r="O67" s="45" t="str">
        <f t="shared" ca="1" si="9"/>
        <v/>
      </c>
      <c r="P67" s="92">
        <f t="shared" ca="1" si="9"/>
        <v>0</v>
      </c>
      <c r="Q67" s="92" t="str">
        <f t="shared" ca="1" si="8"/>
        <v/>
      </c>
      <c r="R67" s="92">
        <f t="shared" ca="1" si="8"/>
        <v>0</v>
      </c>
      <c r="S67" s="92" t="str">
        <f t="shared" ca="1" si="8"/>
        <v/>
      </c>
      <c r="T67" s="92" t="str">
        <f t="shared" ca="1" si="8"/>
        <v/>
      </c>
      <c r="U67" s="68"/>
    </row>
    <row r="68" spans="1:21" s="54" customFormat="1" ht="13.5" customHeight="1">
      <c r="A68" s="45" t="str">
        <f t="shared" ca="1" si="9"/>
        <v/>
      </c>
      <c r="B68" s="45" t="str">
        <f t="shared" ca="1" si="9"/>
        <v/>
      </c>
      <c r="C68" s="45" t="str">
        <f t="shared" ca="1" si="9"/>
        <v/>
      </c>
      <c r="D68" s="92" t="str">
        <f t="shared" ca="1" si="9"/>
        <v/>
      </c>
      <c r="E68" s="92" t="str">
        <f t="shared" ca="1" si="9"/>
        <v/>
      </c>
      <c r="F68" s="92" t="str">
        <f t="shared" ca="1" si="9"/>
        <v/>
      </c>
      <c r="G68" s="92">
        <f t="shared" ca="1" si="9"/>
        <v>0</v>
      </c>
      <c r="H68" s="92">
        <f t="shared" ca="1" si="9"/>
        <v>0</v>
      </c>
      <c r="I68" s="92">
        <f t="shared" ca="1" si="9"/>
        <v>0</v>
      </c>
      <c r="J68" s="45" t="str">
        <f t="shared" ca="1" si="9"/>
        <v/>
      </c>
      <c r="K68" s="45" t="str">
        <f t="shared" ca="1" si="9"/>
        <v/>
      </c>
      <c r="L68" s="45" t="str">
        <f t="shared" ca="1" si="9"/>
        <v/>
      </c>
      <c r="M68" s="45" t="str">
        <f t="shared" ca="1" si="9"/>
        <v/>
      </c>
      <c r="N68" s="45" t="str">
        <f t="shared" ca="1" si="9"/>
        <v/>
      </c>
      <c r="O68" s="45" t="str">
        <f t="shared" ca="1" si="9"/>
        <v/>
      </c>
      <c r="P68" s="92">
        <f t="shared" ca="1" si="9"/>
        <v>0</v>
      </c>
      <c r="Q68" s="92" t="str">
        <f t="shared" ca="1" si="8"/>
        <v/>
      </c>
      <c r="R68" s="92">
        <f t="shared" ca="1" si="8"/>
        <v>0</v>
      </c>
      <c r="S68" s="92" t="str">
        <f t="shared" ca="1" si="8"/>
        <v/>
      </c>
      <c r="T68" s="92" t="str">
        <f t="shared" ca="1" si="8"/>
        <v/>
      </c>
      <c r="U68" s="68"/>
    </row>
    <row r="69" spans="1:21" s="54" customFormat="1" ht="13.5" customHeight="1">
      <c r="A69" s="45" t="str">
        <f t="shared" ca="1" si="9"/>
        <v/>
      </c>
      <c r="B69" s="45" t="str">
        <f t="shared" ca="1" si="9"/>
        <v/>
      </c>
      <c r="C69" s="45" t="str">
        <f t="shared" ca="1" si="9"/>
        <v/>
      </c>
      <c r="D69" s="92" t="str">
        <f t="shared" ca="1" si="9"/>
        <v/>
      </c>
      <c r="E69" s="92" t="str">
        <f t="shared" ca="1" si="9"/>
        <v/>
      </c>
      <c r="F69" s="92" t="str">
        <f t="shared" ca="1" si="9"/>
        <v/>
      </c>
      <c r="G69" s="92">
        <f t="shared" ca="1" si="9"/>
        <v>0</v>
      </c>
      <c r="H69" s="92">
        <f t="shared" ca="1" si="9"/>
        <v>0</v>
      </c>
      <c r="I69" s="92">
        <f t="shared" ca="1" si="9"/>
        <v>0</v>
      </c>
      <c r="J69" s="45" t="str">
        <f t="shared" ca="1" si="9"/>
        <v/>
      </c>
      <c r="K69" s="45" t="str">
        <f t="shared" ca="1" si="9"/>
        <v/>
      </c>
      <c r="L69" s="45" t="str">
        <f t="shared" ca="1" si="9"/>
        <v/>
      </c>
      <c r="M69" s="45" t="str">
        <f t="shared" ca="1" si="9"/>
        <v/>
      </c>
      <c r="N69" s="45" t="str">
        <f t="shared" ca="1" si="9"/>
        <v/>
      </c>
      <c r="O69" s="45" t="str">
        <f t="shared" ca="1" si="9"/>
        <v/>
      </c>
      <c r="P69" s="92">
        <f t="shared" ca="1" si="9"/>
        <v>0</v>
      </c>
      <c r="Q69" s="92" t="str">
        <f t="shared" ca="1" si="8"/>
        <v/>
      </c>
      <c r="R69" s="92">
        <f t="shared" ca="1" si="8"/>
        <v>0</v>
      </c>
      <c r="S69" s="92" t="str">
        <f t="shared" ca="1" si="8"/>
        <v/>
      </c>
      <c r="T69" s="92" t="str">
        <f t="shared" ca="1" si="8"/>
        <v/>
      </c>
      <c r="U69" s="68"/>
    </row>
    <row r="70" spans="1:21" s="54" customFormat="1" ht="13.5" customHeight="1">
      <c r="A70" s="45" t="str">
        <f t="shared" ca="1" si="9"/>
        <v/>
      </c>
      <c r="B70" s="45" t="str">
        <f t="shared" ca="1" si="9"/>
        <v/>
      </c>
      <c r="C70" s="45" t="str">
        <f t="shared" ca="1" si="9"/>
        <v/>
      </c>
      <c r="D70" s="92" t="str">
        <f t="shared" ca="1" si="9"/>
        <v/>
      </c>
      <c r="E70" s="92" t="str">
        <f t="shared" ca="1" si="9"/>
        <v/>
      </c>
      <c r="F70" s="92" t="str">
        <f t="shared" ca="1" si="9"/>
        <v/>
      </c>
      <c r="G70" s="92">
        <f t="shared" ca="1" si="9"/>
        <v>0</v>
      </c>
      <c r="H70" s="92">
        <f t="shared" ca="1" si="9"/>
        <v>0</v>
      </c>
      <c r="I70" s="92">
        <f t="shared" ca="1" si="9"/>
        <v>0</v>
      </c>
      <c r="J70" s="45" t="str">
        <f t="shared" ca="1" si="9"/>
        <v/>
      </c>
      <c r="K70" s="45" t="str">
        <f t="shared" ca="1" si="9"/>
        <v/>
      </c>
      <c r="L70" s="45" t="str">
        <f t="shared" ca="1" si="9"/>
        <v/>
      </c>
      <c r="M70" s="45" t="str">
        <f t="shared" ca="1" si="9"/>
        <v/>
      </c>
      <c r="N70" s="45" t="str">
        <f t="shared" ca="1" si="9"/>
        <v/>
      </c>
      <c r="O70" s="45" t="str">
        <f t="shared" ca="1" si="9"/>
        <v/>
      </c>
      <c r="P70" s="92">
        <f t="shared" ca="1" si="9"/>
        <v>0</v>
      </c>
      <c r="Q70" s="92" t="str">
        <f t="shared" ca="1" si="8"/>
        <v/>
      </c>
      <c r="R70" s="92">
        <f t="shared" ca="1" si="8"/>
        <v>0</v>
      </c>
      <c r="S70" s="92" t="str">
        <f t="shared" ca="1" si="8"/>
        <v/>
      </c>
      <c r="T70" s="92" t="str">
        <f t="shared" ca="1" si="8"/>
        <v/>
      </c>
      <c r="U70" s="68"/>
    </row>
    <row r="71" spans="1:21" s="54" customFormat="1" ht="13.5" customHeight="1">
      <c r="A71" s="45" t="str">
        <f t="shared" ca="1" si="9"/>
        <v/>
      </c>
      <c r="B71" s="45" t="str">
        <f t="shared" ca="1" si="9"/>
        <v/>
      </c>
      <c r="C71" s="45" t="str">
        <f t="shared" ca="1" si="9"/>
        <v/>
      </c>
      <c r="D71" s="92" t="str">
        <f t="shared" ca="1" si="9"/>
        <v/>
      </c>
      <c r="E71" s="92" t="str">
        <f t="shared" ca="1" si="9"/>
        <v/>
      </c>
      <c r="F71" s="92" t="str">
        <f t="shared" ca="1" si="9"/>
        <v/>
      </c>
      <c r="G71" s="92">
        <f t="shared" ca="1" si="9"/>
        <v>0</v>
      </c>
      <c r="H71" s="92">
        <f t="shared" ca="1" si="9"/>
        <v>0</v>
      </c>
      <c r="I71" s="92">
        <f t="shared" ca="1" si="9"/>
        <v>0</v>
      </c>
      <c r="J71" s="45" t="str">
        <f t="shared" ca="1" si="9"/>
        <v/>
      </c>
      <c r="K71" s="45" t="str">
        <f t="shared" ca="1" si="9"/>
        <v/>
      </c>
      <c r="L71" s="45" t="str">
        <f t="shared" ca="1" si="9"/>
        <v/>
      </c>
      <c r="M71" s="45" t="str">
        <f t="shared" ca="1" si="9"/>
        <v/>
      </c>
      <c r="N71" s="45" t="str">
        <f t="shared" ca="1" si="9"/>
        <v/>
      </c>
      <c r="O71" s="45" t="str">
        <f t="shared" ca="1" si="9"/>
        <v/>
      </c>
      <c r="P71" s="92">
        <f t="shared" ca="1" si="9"/>
        <v>0</v>
      </c>
      <c r="Q71" s="92" t="str">
        <f t="shared" ca="1" si="8"/>
        <v/>
      </c>
      <c r="R71" s="92">
        <f t="shared" ca="1" si="8"/>
        <v>0</v>
      </c>
      <c r="S71" s="92" t="str">
        <f t="shared" ca="1" si="8"/>
        <v/>
      </c>
      <c r="T71" s="92" t="str">
        <f t="shared" ca="1" si="8"/>
        <v/>
      </c>
      <c r="U71" s="68"/>
    </row>
    <row r="72" spans="1:21" s="54" customFormat="1" ht="13.5" customHeight="1">
      <c r="A72" s="45" t="str">
        <f t="shared" ca="1" si="9"/>
        <v/>
      </c>
      <c r="B72" s="45" t="str">
        <f t="shared" ca="1" si="9"/>
        <v/>
      </c>
      <c r="C72" s="45" t="str">
        <f t="shared" ca="1" si="9"/>
        <v/>
      </c>
      <c r="D72" s="92" t="str">
        <f t="shared" ca="1" si="9"/>
        <v/>
      </c>
      <c r="E72" s="92" t="str">
        <f t="shared" ca="1" si="9"/>
        <v/>
      </c>
      <c r="F72" s="92" t="str">
        <f t="shared" ca="1" si="9"/>
        <v/>
      </c>
      <c r="G72" s="92">
        <f t="shared" ca="1" si="9"/>
        <v>0</v>
      </c>
      <c r="H72" s="92">
        <f t="shared" ca="1" si="9"/>
        <v>0</v>
      </c>
      <c r="I72" s="92">
        <f t="shared" ca="1" si="9"/>
        <v>0</v>
      </c>
      <c r="J72" s="45" t="str">
        <f t="shared" ca="1" si="9"/>
        <v/>
      </c>
      <c r="K72" s="45" t="str">
        <f t="shared" ca="1" si="9"/>
        <v/>
      </c>
      <c r="L72" s="45" t="str">
        <f t="shared" ca="1" si="9"/>
        <v/>
      </c>
      <c r="M72" s="45" t="str">
        <f t="shared" ca="1" si="9"/>
        <v/>
      </c>
      <c r="N72" s="45" t="str">
        <f t="shared" ca="1" si="9"/>
        <v/>
      </c>
      <c r="O72" s="45" t="str">
        <f t="shared" ca="1" si="9"/>
        <v/>
      </c>
      <c r="P72" s="92">
        <f t="shared" ca="1" si="9"/>
        <v>0</v>
      </c>
      <c r="Q72" s="92" t="str">
        <f t="shared" ca="1" si="8"/>
        <v/>
      </c>
      <c r="R72" s="92">
        <f t="shared" ca="1" si="8"/>
        <v>0</v>
      </c>
      <c r="S72" s="92" t="str">
        <f t="shared" ca="1" si="8"/>
        <v/>
      </c>
      <c r="T72" s="92" t="str">
        <f t="shared" ca="1" si="8"/>
        <v/>
      </c>
      <c r="U72" s="68"/>
    </row>
    <row r="73" spans="1:21" s="54" customFormat="1" ht="13.5" customHeight="1">
      <c r="A73" s="45" t="str">
        <f t="shared" ca="1" si="9"/>
        <v/>
      </c>
      <c r="B73" s="45" t="str">
        <f t="shared" ca="1" si="9"/>
        <v/>
      </c>
      <c r="C73" s="45" t="str">
        <f t="shared" ca="1" si="9"/>
        <v/>
      </c>
      <c r="D73" s="92" t="str">
        <f t="shared" ca="1" si="9"/>
        <v/>
      </c>
      <c r="E73" s="92" t="str">
        <f t="shared" ca="1" si="9"/>
        <v/>
      </c>
      <c r="F73" s="92" t="str">
        <f t="shared" ca="1" si="9"/>
        <v/>
      </c>
      <c r="G73" s="92">
        <f t="shared" ca="1" si="9"/>
        <v>0</v>
      </c>
      <c r="H73" s="92">
        <f t="shared" ca="1" si="9"/>
        <v>0</v>
      </c>
      <c r="I73" s="92">
        <f t="shared" ca="1" si="9"/>
        <v>0</v>
      </c>
      <c r="J73" s="45" t="str">
        <f t="shared" ca="1" si="9"/>
        <v/>
      </c>
      <c r="K73" s="45" t="str">
        <f t="shared" ca="1" si="9"/>
        <v/>
      </c>
      <c r="L73" s="45" t="str">
        <f t="shared" ca="1" si="9"/>
        <v/>
      </c>
      <c r="M73" s="45" t="str">
        <f t="shared" ca="1" si="9"/>
        <v/>
      </c>
      <c r="N73" s="45" t="str">
        <f t="shared" ca="1" si="9"/>
        <v/>
      </c>
      <c r="O73" s="45" t="str">
        <f t="shared" ca="1" si="9"/>
        <v/>
      </c>
      <c r="P73" s="92">
        <f t="shared" ca="1" si="9"/>
        <v>0</v>
      </c>
      <c r="Q73" s="92" t="str">
        <f t="shared" ca="1" si="8"/>
        <v/>
      </c>
      <c r="R73" s="92">
        <f t="shared" ca="1" si="8"/>
        <v>0</v>
      </c>
      <c r="S73" s="92" t="str">
        <f t="shared" ca="1" si="8"/>
        <v/>
      </c>
      <c r="T73" s="92" t="str">
        <f t="shared" ca="1" si="8"/>
        <v/>
      </c>
      <c r="U73" s="68"/>
    </row>
    <row r="74" spans="1:21" s="54" customFormat="1" ht="13.5" customHeight="1">
      <c r="A74" s="45" t="str">
        <f t="shared" ca="1" si="9"/>
        <v/>
      </c>
      <c r="B74" s="45" t="str">
        <f t="shared" ca="1" si="9"/>
        <v/>
      </c>
      <c r="C74" s="45" t="str">
        <f t="shared" ca="1" si="9"/>
        <v/>
      </c>
      <c r="D74" s="92" t="str">
        <f t="shared" ca="1" si="9"/>
        <v/>
      </c>
      <c r="E74" s="92" t="str">
        <f t="shared" ca="1" si="9"/>
        <v/>
      </c>
      <c r="F74" s="92" t="str">
        <f t="shared" ca="1" si="9"/>
        <v/>
      </c>
      <c r="G74" s="92">
        <f t="shared" ca="1" si="9"/>
        <v>0</v>
      </c>
      <c r="H74" s="92">
        <f t="shared" ca="1" si="9"/>
        <v>0</v>
      </c>
      <c r="I74" s="92">
        <f t="shared" ca="1" si="9"/>
        <v>0</v>
      </c>
      <c r="J74" s="45" t="str">
        <f t="shared" ca="1" si="9"/>
        <v/>
      </c>
      <c r="K74" s="45" t="str">
        <f t="shared" ca="1" si="9"/>
        <v/>
      </c>
      <c r="L74" s="45" t="str">
        <f t="shared" ca="1" si="9"/>
        <v/>
      </c>
      <c r="M74" s="45" t="str">
        <f t="shared" ca="1" si="9"/>
        <v/>
      </c>
      <c r="N74" s="45" t="str">
        <f t="shared" ca="1" si="9"/>
        <v/>
      </c>
      <c r="O74" s="45" t="str">
        <f t="shared" ca="1" si="9"/>
        <v/>
      </c>
      <c r="P74" s="92">
        <f t="shared" ca="1" si="9"/>
        <v>0</v>
      </c>
      <c r="Q74" s="92" t="str">
        <f t="shared" ca="1" si="8"/>
        <v/>
      </c>
      <c r="R74" s="92">
        <f t="shared" ca="1" si="8"/>
        <v>0</v>
      </c>
      <c r="S74" s="92" t="str">
        <f t="shared" ca="1" si="8"/>
        <v/>
      </c>
      <c r="T74" s="92" t="str">
        <f t="shared" ca="1" si="8"/>
        <v/>
      </c>
      <c r="U74" s="68"/>
    </row>
    <row r="75" spans="1:21" s="54" customFormat="1" ht="13.5" customHeight="1">
      <c r="A75" s="45" t="str">
        <f t="shared" ca="1" si="9"/>
        <v/>
      </c>
      <c r="B75" s="45" t="str">
        <f t="shared" ca="1" si="9"/>
        <v/>
      </c>
      <c r="C75" s="45" t="str">
        <f t="shared" ca="1" si="9"/>
        <v/>
      </c>
      <c r="D75" s="92" t="str">
        <f t="shared" ca="1" si="9"/>
        <v/>
      </c>
      <c r="E75" s="92" t="str">
        <f t="shared" ca="1" si="9"/>
        <v/>
      </c>
      <c r="F75" s="92" t="str">
        <f t="shared" ca="1" si="9"/>
        <v/>
      </c>
      <c r="G75" s="92">
        <f t="shared" ca="1" si="9"/>
        <v>0</v>
      </c>
      <c r="H75" s="92">
        <f t="shared" ca="1" si="9"/>
        <v>0</v>
      </c>
      <c r="I75" s="92">
        <f t="shared" ca="1" si="9"/>
        <v>0</v>
      </c>
      <c r="J75" s="45" t="str">
        <f t="shared" ca="1" si="9"/>
        <v/>
      </c>
      <c r="K75" s="45" t="str">
        <f t="shared" ca="1" si="9"/>
        <v/>
      </c>
      <c r="L75" s="45" t="str">
        <f t="shared" ca="1" si="9"/>
        <v/>
      </c>
      <c r="M75" s="45" t="str">
        <f t="shared" ca="1" si="9"/>
        <v/>
      </c>
      <c r="N75" s="45" t="str">
        <f t="shared" ca="1" si="9"/>
        <v/>
      </c>
      <c r="O75" s="45" t="str">
        <f t="shared" ca="1" si="9"/>
        <v/>
      </c>
      <c r="P75" s="92">
        <f t="shared" ca="1" si="9"/>
        <v>0</v>
      </c>
      <c r="Q75" s="92" t="str">
        <f t="shared" ca="1" si="8"/>
        <v/>
      </c>
      <c r="R75" s="92">
        <f t="shared" ca="1" si="8"/>
        <v>0</v>
      </c>
      <c r="S75" s="92" t="str">
        <f t="shared" ca="1" si="8"/>
        <v/>
      </c>
      <c r="T75" s="92" t="str">
        <f t="shared" ca="1" si="8"/>
        <v/>
      </c>
      <c r="U75" s="68"/>
    </row>
    <row r="76" spans="1:21" s="54" customFormat="1" ht="13.5" customHeight="1">
      <c r="A76" s="45" t="str">
        <f t="shared" ca="1" si="9"/>
        <v/>
      </c>
      <c r="B76" s="45" t="str">
        <f t="shared" ca="1" si="9"/>
        <v/>
      </c>
      <c r="C76" s="45" t="str">
        <f t="shared" ca="1" si="9"/>
        <v/>
      </c>
      <c r="D76" s="92" t="str">
        <f t="shared" ca="1" si="9"/>
        <v/>
      </c>
      <c r="E76" s="92" t="str">
        <f t="shared" ca="1" si="9"/>
        <v/>
      </c>
      <c r="F76" s="92" t="str">
        <f t="shared" ca="1" si="9"/>
        <v/>
      </c>
      <c r="G76" s="92">
        <f t="shared" ca="1" si="9"/>
        <v>0</v>
      </c>
      <c r="H76" s="92">
        <f t="shared" ca="1" si="9"/>
        <v>0</v>
      </c>
      <c r="I76" s="92">
        <f t="shared" ca="1" si="9"/>
        <v>0</v>
      </c>
      <c r="J76" s="45" t="str">
        <f t="shared" ca="1" si="9"/>
        <v/>
      </c>
      <c r="K76" s="45" t="str">
        <f t="shared" ca="1" si="9"/>
        <v/>
      </c>
      <c r="L76" s="45" t="str">
        <f t="shared" ca="1" si="9"/>
        <v/>
      </c>
      <c r="M76" s="45" t="str">
        <f t="shared" ca="1" si="9"/>
        <v/>
      </c>
      <c r="N76" s="45" t="str">
        <f t="shared" ca="1" si="9"/>
        <v/>
      </c>
      <c r="O76" s="45" t="str">
        <f t="shared" ca="1" si="9"/>
        <v/>
      </c>
      <c r="P76" s="92">
        <f t="shared" ref="P76:T91" ca="1" si="10">IF(INDIRECT("제작의뢰서!"&amp;ADDRESS(ROW(),COLUMN()))="","",INDIRECT("제작의뢰서!"&amp;ADDRESS(ROW(),COLUMN())))</f>
        <v>0</v>
      </c>
      <c r="Q76" s="92" t="str">
        <f t="shared" ca="1" si="10"/>
        <v/>
      </c>
      <c r="R76" s="92">
        <f t="shared" ca="1" si="10"/>
        <v>0</v>
      </c>
      <c r="S76" s="92" t="str">
        <f t="shared" ca="1" si="10"/>
        <v/>
      </c>
      <c r="T76" s="92" t="str">
        <f t="shared" ca="1" si="10"/>
        <v/>
      </c>
      <c r="U76" s="68"/>
    </row>
    <row r="77" spans="1:21" s="54" customFormat="1" ht="13.5" customHeight="1">
      <c r="A77" s="45" t="str">
        <f t="shared" ref="A77:P92" ca="1" si="11">IF(INDIRECT("제작의뢰서!"&amp;ADDRESS(ROW(),COLUMN()))="","",INDIRECT("제작의뢰서!"&amp;ADDRESS(ROW(),COLUMN())))</f>
        <v/>
      </c>
      <c r="B77" s="45" t="str">
        <f t="shared" ca="1" si="11"/>
        <v/>
      </c>
      <c r="C77" s="45" t="str">
        <f t="shared" ca="1" si="11"/>
        <v/>
      </c>
      <c r="D77" s="92" t="str">
        <f t="shared" ca="1" si="11"/>
        <v/>
      </c>
      <c r="E77" s="92" t="str">
        <f t="shared" ca="1" si="11"/>
        <v/>
      </c>
      <c r="F77" s="92" t="str">
        <f t="shared" ca="1" si="11"/>
        <v/>
      </c>
      <c r="G77" s="92">
        <f t="shared" ca="1" si="11"/>
        <v>0</v>
      </c>
      <c r="H77" s="92">
        <f t="shared" ca="1" si="11"/>
        <v>0</v>
      </c>
      <c r="I77" s="92">
        <f t="shared" ca="1" si="11"/>
        <v>0</v>
      </c>
      <c r="J77" s="45" t="str">
        <f t="shared" ca="1" si="11"/>
        <v/>
      </c>
      <c r="K77" s="45" t="str">
        <f t="shared" ca="1" si="11"/>
        <v/>
      </c>
      <c r="L77" s="45" t="str">
        <f t="shared" ca="1" si="11"/>
        <v/>
      </c>
      <c r="M77" s="45" t="str">
        <f t="shared" ca="1" si="11"/>
        <v/>
      </c>
      <c r="N77" s="45" t="str">
        <f t="shared" ca="1" si="11"/>
        <v/>
      </c>
      <c r="O77" s="45" t="str">
        <f t="shared" ca="1" si="11"/>
        <v/>
      </c>
      <c r="P77" s="92">
        <f t="shared" ca="1" si="11"/>
        <v>0</v>
      </c>
      <c r="Q77" s="92" t="str">
        <f t="shared" ca="1" si="10"/>
        <v/>
      </c>
      <c r="R77" s="92">
        <f t="shared" ca="1" si="10"/>
        <v>0</v>
      </c>
      <c r="S77" s="92" t="str">
        <f t="shared" ca="1" si="10"/>
        <v/>
      </c>
      <c r="T77" s="92" t="str">
        <f t="shared" ca="1" si="10"/>
        <v/>
      </c>
      <c r="U77" s="68"/>
    </row>
    <row r="78" spans="1:21" s="54" customFormat="1" ht="13.5" customHeight="1">
      <c r="A78" s="45" t="str">
        <f t="shared" ca="1" si="11"/>
        <v/>
      </c>
      <c r="B78" s="45" t="str">
        <f t="shared" ca="1" si="11"/>
        <v/>
      </c>
      <c r="C78" s="45" t="str">
        <f t="shared" ca="1" si="11"/>
        <v/>
      </c>
      <c r="D78" s="92" t="str">
        <f t="shared" ca="1" si="11"/>
        <v/>
      </c>
      <c r="E78" s="92" t="str">
        <f t="shared" ca="1" si="11"/>
        <v/>
      </c>
      <c r="F78" s="92" t="str">
        <f t="shared" ca="1" si="11"/>
        <v/>
      </c>
      <c r="G78" s="92">
        <f t="shared" ca="1" si="11"/>
        <v>0</v>
      </c>
      <c r="H78" s="92">
        <f t="shared" ca="1" si="11"/>
        <v>0</v>
      </c>
      <c r="I78" s="92">
        <f t="shared" ca="1" si="11"/>
        <v>0</v>
      </c>
      <c r="J78" s="45" t="str">
        <f t="shared" ca="1" si="11"/>
        <v/>
      </c>
      <c r="K78" s="45" t="str">
        <f t="shared" ca="1" si="11"/>
        <v/>
      </c>
      <c r="L78" s="45" t="str">
        <f t="shared" ca="1" si="11"/>
        <v/>
      </c>
      <c r="M78" s="45" t="str">
        <f t="shared" ca="1" si="11"/>
        <v/>
      </c>
      <c r="N78" s="45" t="str">
        <f t="shared" ca="1" si="11"/>
        <v/>
      </c>
      <c r="O78" s="45" t="str">
        <f t="shared" ca="1" si="11"/>
        <v/>
      </c>
      <c r="P78" s="92">
        <f t="shared" ca="1" si="11"/>
        <v>0</v>
      </c>
      <c r="Q78" s="92" t="str">
        <f t="shared" ca="1" si="10"/>
        <v/>
      </c>
      <c r="R78" s="92">
        <f t="shared" ca="1" si="10"/>
        <v>0</v>
      </c>
      <c r="S78" s="92" t="str">
        <f t="shared" ca="1" si="10"/>
        <v/>
      </c>
      <c r="T78" s="92" t="str">
        <f t="shared" ca="1" si="10"/>
        <v/>
      </c>
      <c r="U78" s="68"/>
    </row>
    <row r="79" spans="1:21" s="54" customFormat="1" ht="13.5" customHeight="1">
      <c r="A79" s="45" t="str">
        <f t="shared" ca="1" si="11"/>
        <v/>
      </c>
      <c r="B79" s="45" t="str">
        <f t="shared" ca="1" si="11"/>
        <v/>
      </c>
      <c r="C79" s="45" t="str">
        <f t="shared" ca="1" si="11"/>
        <v/>
      </c>
      <c r="D79" s="92" t="str">
        <f t="shared" ca="1" si="11"/>
        <v/>
      </c>
      <c r="E79" s="92" t="str">
        <f t="shared" ca="1" si="11"/>
        <v/>
      </c>
      <c r="F79" s="92" t="str">
        <f t="shared" ca="1" si="11"/>
        <v/>
      </c>
      <c r="G79" s="92">
        <f t="shared" ca="1" si="11"/>
        <v>0</v>
      </c>
      <c r="H79" s="92">
        <f t="shared" ca="1" si="11"/>
        <v>0</v>
      </c>
      <c r="I79" s="92">
        <f t="shared" ca="1" si="11"/>
        <v>0</v>
      </c>
      <c r="J79" s="45" t="str">
        <f t="shared" ca="1" si="11"/>
        <v/>
      </c>
      <c r="K79" s="45" t="str">
        <f t="shared" ca="1" si="11"/>
        <v/>
      </c>
      <c r="L79" s="45" t="str">
        <f t="shared" ca="1" si="11"/>
        <v/>
      </c>
      <c r="M79" s="45" t="str">
        <f t="shared" ca="1" si="11"/>
        <v/>
      </c>
      <c r="N79" s="45" t="str">
        <f t="shared" ca="1" si="11"/>
        <v/>
      </c>
      <c r="O79" s="45" t="str">
        <f t="shared" ca="1" si="11"/>
        <v/>
      </c>
      <c r="P79" s="92">
        <f t="shared" ca="1" si="11"/>
        <v>0</v>
      </c>
      <c r="Q79" s="92" t="str">
        <f t="shared" ca="1" si="10"/>
        <v/>
      </c>
      <c r="R79" s="92">
        <f t="shared" ca="1" si="10"/>
        <v>0</v>
      </c>
      <c r="S79" s="92" t="str">
        <f t="shared" ca="1" si="10"/>
        <v/>
      </c>
      <c r="T79" s="92" t="str">
        <f t="shared" ca="1" si="10"/>
        <v/>
      </c>
      <c r="U79" s="68"/>
    </row>
    <row r="80" spans="1:21" s="54" customFormat="1" ht="13.5" customHeight="1">
      <c r="A80" s="45" t="str">
        <f t="shared" ca="1" si="11"/>
        <v/>
      </c>
      <c r="B80" s="45" t="str">
        <f t="shared" ca="1" si="11"/>
        <v/>
      </c>
      <c r="C80" s="45" t="str">
        <f t="shared" ca="1" si="11"/>
        <v/>
      </c>
      <c r="D80" s="92" t="str">
        <f t="shared" ca="1" si="11"/>
        <v/>
      </c>
      <c r="E80" s="92" t="str">
        <f t="shared" ca="1" si="11"/>
        <v/>
      </c>
      <c r="F80" s="92" t="str">
        <f t="shared" ca="1" si="11"/>
        <v/>
      </c>
      <c r="G80" s="92">
        <f t="shared" ca="1" si="11"/>
        <v>0</v>
      </c>
      <c r="H80" s="92">
        <f t="shared" ca="1" si="11"/>
        <v>0</v>
      </c>
      <c r="I80" s="92">
        <f t="shared" ca="1" si="11"/>
        <v>0</v>
      </c>
      <c r="J80" s="45" t="str">
        <f t="shared" ca="1" si="11"/>
        <v/>
      </c>
      <c r="K80" s="45" t="str">
        <f t="shared" ca="1" si="11"/>
        <v/>
      </c>
      <c r="L80" s="45" t="str">
        <f t="shared" ca="1" si="11"/>
        <v/>
      </c>
      <c r="M80" s="45" t="str">
        <f t="shared" ca="1" si="11"/>
        <v/>
      </c>
      <c r="N80" s="45" t="str">
        <f t="shared" ca="1" si="11"/>
        <v/>
      </c>
      <c r="O80" s="45" t="str">
        <f t="shared" ca="1" si="11"/>
        <v/>
      </c>
      <c r="P80" s="92">
        <f t="shared" ca="1" si="11"/>
        <v>0</v>
      </c>
      <c r="Q80" s="92" t="str">
        <f t="shared" ca="1" si="10"/>
        <v/>
      </c>
      <c r="R80" s="92">
        <f t="shared" ca="1" si="10"/>
        <v>0</v>
      </c>
      <c r="S80" s="92" t="str">
        <f t="shared" ca="1" si="10"/>
        <v/>
      </c>
      <c r="T80" s="92" t="str">
        <f t="shared" ca="1" si="10"/>
        <v/>
      </c>
      <c r="U80" s="68"/>
    </row>
    <row r="81" spans="1:21" s="54" customFormat="1" ht="13.5" customHeight="1">
      <c r="A81" s="45" t="str">
        <f t="shared" ca="1" si="11"/>
        <v/>
      </c>
      <c r="B81" s="45" t="str">
        <f t="shared" ca="1" si="11"/>
        <v/>
      </c>
      <c r="C81" s="45" t="str">
        <f t="shared" ca="1" si="11"/>
        <v/>
      </c>
      <c r="D81" s="92" t="str">
        <f t="shared" ca="1" si="11"/>
        <v/>
      </c>
      <c r="E81" s="92" t="str">
        <f t="shared" ca="1" si="11"/>
        <v/>
      </c>
      <c r="F81" s="92" t="str">
        <f t="shared" ca="1" si="11"/>
        <v/>
      </c>
      <c r="G81" s="92">
        <f t="shared" ca="1" si="11"/>
        <v>0</v>
      </c>
      <c r="H81" s="92">
        <f t="shared" ca="1" si="11"/>
        <v>0</v>
      </c>
      <c r="I81" s="92">
        <f t="shared" ca="1" si="11"/>
        <v>0</v>
      </c>
      <c r="J81" s="45" t="str">
        <f t="shared" ca="1" si="11"/>
        <v/>
      </c>
      <c r="K81" s="45" t="str">
        <f t="shared" ca="1" si="11"/>
        <v/>
      </c>
      <c r="L81" s="45" t="str">
        <f t="shared" ca="1" si="11"/>
        <v/>
      </c>
      <c r="M81" s="45" t="str">
        <f t="shared" ca="1" si="11"/>
        <v/>
      </c>
      <c r="N81" s="45" t="str">
        <f t="shared" ca="1" si="11"/>
        <v/>
      </c>
      <c r="O81" s="45" t="str">
        <f t="shared" ca="1" si="11"/>
        <v/>
      </c>
      <c r="P81" s="92">
        <f t="shared" ca="1" si="11"/>
        <v>0</v>
      </c>
      <c r="Q81" s="92" t="str">
        <f t="shared" ca="1" si="10"/>
        <v/>
      </c>
      <c r="R81" s="92">
        <f t="shared" ca="1" si="10"/>
        <v>0</v>
      </c>
      <c r="S81" s="92" t="str">
        <f t="shared" ca="1" si="10"/>
        <v/>
      </c>
      <c r="T81" s="92" t="str">
        <f t="shared" ca="1" si="10"/>
        <v/>
      </c>
      <c r="U81" s="68"/>
    </row>
    <row r="82" spans="1:21" s="54" customFormat="1" ht="13.5" customHeight="1">
      <c r="A82" s="45" t="str">
        <f t="shared" ca="1" si="11"/>
        <v/>
      </c>
      <c r="B82" s="45" t="str">
        <f t="shared" ca="1" si="11"/>
        <v/>
      </c>
      <c r="C82" s="45" t="str">
        <f t="shared" ca="1" si="11"/>
        <v/>
      </c>
      <c r="D82" s="92" t="str">
        <f t="shared" ca="1" si="11"/>
        <v/>
      </c>
      <c r="E82" s="92" t="str">
        <f t="shared" ca="1" si="11"/>
        <v/>
      </c>
      <c r="F82" s="92" t="str">
        <f t="shared" ca="1" si="11"/>
        <v/>
      </c>
      <c r="G82" s="92">
        <f t="shared" ca="1" si="11"/>
        <v>0</v>
      </c>
      <c r="H82" s="92">
        <f t="shared" ca="1" si="11"/>
        <v>0</v>
      </c>
      <c r="I82" s="92">
        <f t="shared" ca="1" si="11"/>
        <v>0</v>
      </c>
      <c r="J82" s="45" t="str">
        <f t="shared" ca="1" si="11"/>
        <v/>
      </c>
      <c r="K82" s="45" t="str">
        <f t="shared" ca="1" si="11"/>
        <v/>
      </c>
      <c r="L82" s="45" t="str">
        <f t="shared" ca="1" si="11"/>
        <v/>
      </c>
      <c r="M82" s="45" t="str">
        <f t="shared" ca="1" si="11"/>
        <v/>
      </c>
      <c r="N82" s="45" t="str">
        <f t="shared" ca="1" si="11"/>
        <v/>
      </c>
      <c r="O82" s="45" t="str">
        <f t="shared" ca="1" si="11"/>
        <v/>
      </c>
      <c r="P82" s="92">
        <f t="shared" ca="1" si="11"/>
        <v>0</v>
      </c>
      <c r="Q82" s="92" t="str">
        <f t="shared" ca="1" si="10"/>
        <v/>
      </c>
      <c r="R82" s="92">
        <f t="shared" ca="1" si="10"/>
        <v>0</v>
      </c>
      <c r="S82" s="92" t="str">
        <f t="shared" ca="1" si="10"/>
        <v/>
      </c>
      <c r="T82" s="92" t="str">
        <f t="shared" ca="1" si="10"/>
        <v/>
      </c>
      <c r="U82" s="68"/>
    </row>
    <row r="83" spans="1:21" s="54" customFormat="1" ht="13.5" customHeight="1">
      <c r="A83" s="45" t="str">
        <f t="shared" ca="1" si="11"/>
        <v/>
      </c>
      <c r="B83" s="45" t="str">
        <f t="shared" ca="1" si="11"/>
        <v/>
      </c>
      <c r="C83" s="45" t="str">
        <f t="shared" ca="1" si="11"/>
        <v/>
      </c>
      <c r="D83" s="92" t="str">
        <f t="shared" ca="1" si="11"/>
        <v/>
      </c>
      <c r="E83" s="92" t="str">
        <f t="shared" ca="1" si="11"/>
        <v/>
      </c>
      <c r="F83" s="92" t="str">
        <f t="shared" ca="1" si="11"/>
        <v/>
      </c>
      <c r="G83" s="92">
        <f t="shared" ca="1" si="11"/>
        <v>0</v>
      </c>
      <c r="H83" s="92">
        <f t="shared" ca="1" si="11"/>
        <v>0</v>
      </c>
      <c r="I83" s="92">
        <f t="shared" ca="1" si="11"/>
        <v>0</v>
      </c>
      <c r="J83" s="45" t="str">
        <f t="shared" ca="1" si="11"/>
        <v/>
      </c>
      <c r="K83" s="45" t="str">
        <f t="shared" ca="1" si="11"/>
        <v/>
      </c>
      <c r="L83" s="45" t="str">
        <f t="shared" ca="1" si="11"/>
        <v/>
      </c>
      <c r="M83" s="45" t="str">
        <f t="shared" ca="1" si="11"/>
        <v/>
      </c>
      <c r="N83" s="45" t="str">
        <f t="shared" ca="1" si="11"/>
        <v/>
      </c>
      <c r="O83" s="45" t="str">
        <f t="shared" ca="1" si="11"/>
        <v/>
      </c>
      <c r="P83" s="92">
        <f t="shared" ca="1" si="11"/>
        <v>0</v>
      </c>
      <c r="Q83" s="92" t="str">
        <f t="shared" ca="1" si="10"/>
        <v/>
      </c>
      <c r="R83" s="92">
        <f t="shared" ca="1" si="10"/>
        <v>0</v>
      </c>
      <c r="S83" s="92" t="str">
        <f t="shared" ca="1" si="10"/>
        <v/>
      </c>
      <c r="T83" s="92" t="str">
        <f t="shared" ca="1" si="10"/>
        <v/>
      </c>
      <c r="U83" s="68"/>
    </row>
    <row r="84" spans="1:21" s="54" customFormat="1" ht="13.5" customHeight="1">
      <c r="A84" s="45" t="str">
        <f t="shared" ca="1" si="11"/>
        <v/>
      </c>
      <c r="B84" s="45" t="str">
        <f t="shared" ca="1" si="11"/>
        <v/>
      </c>
      <c r="C84" s="45" t="str">
        <f t="shared" ca="1" si="11"/>
        <v/>
      </c>
      <c r="D84" s="92" t="str">
        <f t="shared" ca="1" si="11"/>
        <v/>
      </c>
      <c r="E84" s="92" t="str">
        <f t="shared" ca="1" si="11"/>
        <v/>
      </c>
      <c r="F84" s="92" t="str">
        <f t="shared" ca="1" si="11"/>
        <v/>
      </c>
      <c r="G84" s="92">
        <f t="shared" ca="1" si="11"/>
        <v>0</v>
      </c>
      <c r="H84" s="92">
        <f t="shared" ca="1" si="11"/>
        <v>0</v>
      </c>
      <c r="I84" s="92">
        <f t="shared" ca="1" si="11"/>
        <v>0</v>
      </c>
      <c r="J84" s="45" t="str">
        <f t="shared" ca="1" si="11"/>
        <v/>
      </c>
      <c r="K84" s="45" t="str">
        <f t="shared" ca="1" si="11"/>
        <v/>
      </c>
      <c r="L84" s="45" t="str">
        <f t="shared" ca="1" si="11"/>
        <v/>
      </c>
      <c r="M84" s="45" t="str">
        <f t="shared" ca="1" si="11"/>
        <v/>
      </c>
      <c r="N84" s="45" t="str">
        <f t="shared" ca="1" si="11"/>
        <v/>
      </c>
      <c r="O84" s="45" t="str">
        <f t="shared" ca="1" si="11"/>
        <v/>
      </c>
      <c r="P84" s="92">
        <f t="shared" ca="1" si="11"/>
        <v>0</v>
      </c>
      <c r="Q84" s="92" t="str">
        <f t="shared" ca="1" si="10"/>
        <v/>
      </c>
      <c r="R84" s="92">
        <f t="shared" ca="1" si="10"/>
        <v>0</v>
      </c>
      <c r="S84" s="92" t="str">
        <f t="shared" ca="1" si="10"/>
        <v/>
      </c>
      <c r="T84" s="92" t="str">
        <f t="shared" ca="1" si="10"/>
        <v/>
      </c>
      <c r="U84" s="68"/>
    </row>
    <row r="85" spans="1:21" s="54" customFormat="1" ht="13.5" customHeight="1">
      <c r="A85" s="45" t="str">
        <f t="shared" ca="1" si="11"/>
        <v/>
      </c>
      <c r="B85" s="45" t="str">
        <f t="shared" ca="1" si="11"/>
        <v/>
      </c>
      <c r="C85" s="45" t="str">
        <f t="shared" ca="1" si="11"/>
        <v/>
      </c>
      <c r="D85" s="92" t="str">
        <f t="shared" ca="1" si="11"/>
        <v/>
      </c>
      <c r="E85" s="92" t="str">
        <f t="shared" ca="1" si="11"/>
        <v/>
      </c>
      <c r="F85" s="92" t="str">
        <f t="shared" ca="1" si="11"/>
        <v/>
      </c>
      <c r="G85" s="92">
        <f t="shared" ca="1" si="11"/>
        <v>0</v>
      </c>
      <c r="H85" s="92">
        <f t="shared" ca="1" si="11"/>
        <v>0</v>
      </c>
      <c r="I85" s="92">
        <f t="shared" ca="1" si="11"/>
        <v>0</v>
      </c>
      <c r="J85" s="45" t="str">
        <f t="shared" ca="1" si="11"/>
        <v/>
      </c>
      <c r="K85" s="45" t="str">
        <f t="shared" ca="1" si="11"/>
        <v/>
      </c>
      <c r="L85" s="45" t="str">
        <f t="shared" ca="1" si="11"/>
        <v/>
      </c>
      <c r="M85" s="45" t="str">
        <f t="shared" ca="1" si="11"/>
        <v/>
      </c>
      <c r="N85" s="45" t="str">
        <f t="shared" ca="1" si="11"/>
        <v/>
      </c>
      <c r="O85" s="45" t="str">
        <f t="shared" ca="1" si="11"/>
        <v/>
      </c>
      <c r="P85" s="92">
        <f t="shared" ca="1" si="11"/>
        <v>0</v>
      </c>
      <c r="Q85" s="92" t="str">
        <f t="shared" ca="1" si="10"/>
        <v/>
      </c>
      <c r="R85" s="92">
        <f t="shared" ca="1" si="10"/>
        <v>0</v>
      </c>
      <c r="S85" s="92" t="str">
        <f t="shared" ca="1" si="10"/>
        <v/>
      </c>
      <c r="T85" s="92" t="str">
        <f t="shared" ca="1" si="10"/>
        <v/>
      </c>
      <c r="U85" s="68"/>
    </row>
    <row r="86" spans="1:21" s="54" customFormat="1" ht="13.5" customHeight="1">
      <c r="A86" s="45" t="str">
        <f t="shared" ca="1" si="11"/>
        <v/>
      </c>
      <c r="B86" s="45" t="str">
        <f t="shared" ca="1" si="11"/>
        <v/>
      </c>
      <c r="C86" s="45" t="str">
        <f t="shared" ca="1" si="11"/>
        <v/>
      </c>
      <c r="D86" s="92" t="str">
        <f t="shared" ca="1" si="11"/>
        <v/>
      </c>
      <c r="E86" s="92" t="str">
        <f t="shared" ca="1" si="11"/>
        <v/>
      </c>
      <c r="F86" s="92" t="str">
        <f t="shared" ca="1" si="11"/>
        <v/>
      </c>
      <c r="G86" s="92">
        <f t="shared" ca="1" si="11"/>
        <v>0</v>
      </c>
      <c r="H86" s="92">
        <f t="shared" ca="1" si="11"/>
        <v>0</v>
      </c>
      <c r="I86" s="92">
        <f t="shared" ca="1" si="11"/>
        <v>0</v>
      </c>
      <c r="J86" s="45" t="str">
        <f t="shared" ca="1" si="11"/>
        <v/>
      </c>
      <c r="K86" s="45" t="str">
        <f t="shared" ca="1" si="11"/>
        <v/>
      </c>
      <c r="L86" s="45" t="str">
        <f t="shared" ca="1" si="11"/>
        <v/>
      </c>
      <c r="M86" s="45" t="str">
        <f t="shared" ca="1" si="11"/>
        <v/>
      </c>
      <c r="N86" s="45" t="str">
        <f t="shared" ca="1" si="11"/>
        <v/>
      </c>
      <c r="O86" s="45" t="str">
        <f t="shared" ca="1" si="11"/>
        <v/>
      </c>
      <c r="P86" s="92">
        <f t="shared" ca="1" si="11"/>
        <v>0</v>
      </c>
      <c r="Q86" s="92" t="str">
        <f t="shared" ca="1" si="10"/>
        <v/>
      </c>
      <c r="R86" s="92">
        <f t="shared" ca="1" si="10"/>
        <v>0</v>
      </c>
      <c r="S86" s="92" t="str">
        <f t="shared" ca="1" si="10"/>
        <v/>
      </c>
      <c r="T86" s="92" t="str">
        <f t="shared" ca="1" si="10"/>
        <v/>
      </c>
      <c r="U86" s="68"/>
    </row>
    <row r="87" spans="1:21" s="54" customFormat="1" ht="13.5" customHeight="1">
      <c r="A87" s="45" t="str">
        <f t="shared" ca="1" si="11"/>
        <v/>
      </c>
      <c r="B87" s="45" t="str">
        <f t="shared" ca="1" si="11"/>
        <v/>
      </c>
      <c r="C87" s="45" t="str">
        <f t="shared" ca="1" si="11"/>
        <v/>
      </c>
      <c r="D87" s="92" t="str">
        <f t="shared" ca="1" si="11"/>
        <v/>
      </c>
      <c r="E87" s="92" t="str">
        <f t="shared" ca="1" si="11"/>
        <v/>
      </c>
      <c r="F87" s="92" t="str">
        <f t="shared" ca="1" si="11"/>
        <v/>
      </c>
      <c r="G87" s="92">
        <f t="shared" ca="1" si="11"/>
        <v>0</v>
      </c>
      <c r="H87" s="92">
        <f t="shared" ca="1" si="11"/>
        <v>0</v>
      </c>
      <c r="I87" s="92">
        <f t="shared" ca="1" si="11"/>
        <v>0</v>
      </c>
      <c r="J87" s="45" t="str">
        <f t="shared" ca="1" si="11"/>
        <v/>
      </c>
      <c r="K87" s="45" t="str">
        <f t="shared" ca="1" si="11"/>
        <v/>
      </c>
      <c r="L87" s="45" t="str">
        <f t="shared" ca="1" si="11"/>
        <v/>
      </c>
      <c r="M87" s="45" t="str">
        <f t="shared" ca="1" si="11"/>
        <v/>
      </c>
      <c r="N87" s="45" t="str">
        <f t="shared" ca="1" si="11"/>
        <v/>
      </c>
      <c r="O87" s="45" t="str">
        <f t="shared" ca="1" si="11"/>
        <v/>
      </c>
      <c r="P87" s="92">
        <f t="shared" ca="1" si="11"/>
        <v>0</v>
      </c>
      <c r="Q87" s="92" t="str">
        <f t="shared" ca="1" si="10"/>
        <v/>
      </c>
      <c r="R87" s="92">
        <f t="shared" ca="1" si="10"/>
        <v>0</v>
      </c>
      <c r="S87" s="92" t="str">
        <f t="shared" ca="1" si="10"/>
        <v/>
      </c>
      <c r="T87" s="92" t="str">
        <f t="shared" ca="1" si="10"/>
        <v/>
      </c>
      <c r="U87" s="68"/>
    </row>
    <row r="88" spans="1:21" s="54" customFormat="1" ht="13.5" customHeight="1">
      <c r="A88" s="45" t="str">
        <f t="shared" ca="1" si="11"/>
        <v/>
      </c>
      <c r="B88" s="45" t="str">
        <f t="shared" ca="1" si="11"/>
        <v/>
      </c>
      <c r="C88" s="45" t="str">
        <f t="shared" ca="1" si="11"/>
        <v/>
      </c>
      <c r="D88" s="92" t="str">
        <f t="shared" ca="1" si="11"/>
        <v/>
      </c>
      <c r="E88" s="92" t="str">
        <f t="shared" ca="1" si="11"/>
        <v/>
      </c>
      <c r="F88" s="92" t="str">
        <f t="shared" ca="1" si="11"/>
        <v/>
      </c>
      <c r="G88" s="92">
        <f t="shared" ca="1" si="11"/>
        <v>0</v>
      </c>
      <c r="H88" s="92">
        <f t="shared" ca="1" si="11"/>
        <v>0</v>
      </c>
      <c r="I88" s="92">
        <f t="shared" ca="1" si="11"/>
        <v>0</v>
      </c>
      <c r="J88" s="45" t="str">
        <f t="shared" ca="1" si="11"/>
        <v/>
      </c>
      <c r="K88" s="45" t="str">
        <f t="shared" ca="1" si="11"/>
        <v/>
      </c>
      <c r="L88" s="45" t="str">
        <f t="shared" ca="1" si="11"/>
        <v/>
      </c>
      <c r="M88" s="45" t="str">
        <f t="shared" ca="1" si="11"/>
        <v/>
      </c>
      <c r="N88" s="45" t="str">
        <f t="shared" ca="1" si="11"/>
        <v/>
      </c>
      <c r="O88" s="45" t="str">
        <f t="shared" ca="1" si="11"/>
        <v/>
      </c>
      <c r="P88" s="92">
        <f t="shared" ca="1" si="11"/>
        <v>0</v>
      </c>
      <c r="Q88" s="92" t="str">
        <f t="shared" ca="1" si="10"/>
        <v/>
      </c>
      <c r="R88" s="92">
        <f t="shared" ca="1" si="10"/>
        <v>0</v>
      </c>
      <c r="S88" s="92" t="str">
        <f t="shared" ca="1" si="10"/>
        <v/>
      </c>
      <c r="T88" s="92" t="str">
        <f t="shared" ca="1" si="10"/>
        <v/>
      </c>
      <c r="U88" s="68"/>
    </row>
    <row r="89" spans="1:21" s="54" customFormat="1" ht="13.5" customHeight="1">
      <c r="A89" s="45" t="str">
        <f t="shared" ca="1" si="11"/>
        <v/>
      </c>
      <c r="B89" s="45" t="str">
        <f t="shared" ca="1" si="11"/>
        <v/>
      </c>
      <c r="C89" s="45" t="str">
        <f t="shared" ca="1" si="11"/>
        <v/>
      </c>
      <c r="D89" s="92" t="str">
        <f t="shared" ca="1" si="11"/>
        <v/>
      </c>
      <c r="E89" s="92" t="str">
        <f t="shared" ca="1" si="11"/>
        <v/>
      </c>
      <c r="F89" s="92" t="str">
        <f t="shared" ca="1" si="11"/>
        <v/>
      </c>
      <c r="G89" s="92">
        <f t="shared" ca="1" si="11"/>
        <v>0</v>
      </c>
      <c r="H89" s="92">
        <f t="shared" ca="1" si="11"/>
        <v>0</v>
      </c>
      <c r="I89" s="92">
        <f t="shared" ca="1" si="11"/>
        <v>0</v>
      </c>
      <c r="J89" s="45" t="str">
        <f t="shared" ca="1" si="11"/>
        <v/>
      </c>
      <c r="K89" s="45" t="str">
        <f t="shared" ca="1" si="11"/>
        <v/>
      </c>
      <c r="L89" s="45" t="str">
        <f t="shared" ca="1" si="11"/>
        <v/>
      </c>
      <c r="M89" s="45" t="str">
        <f t="shared" ca="1" si="11"/>
        <v/>
      </c>
      <c r="N89" s="45" t="str">
        <f t="shared" ca="1" si="11"/>
        <v/>
      </c>
      <c r="O89" s="45" t="str">
        <f t="shared" ca="1" si="11"/>
        <v/>
      </c>
      <c r="P89" s="92">
        <f t="shared" ca="1" si="11"/>
        <v>0</v>
      </c>
      <c r="Q89" s="92" t="str">
        <f t="shared" ca="1" si="10"/>
        <v/>
      </c>
      <c r="R89" s="92">
        <f t="shared" ca="1" si="10"/>
        <v>0</v>
      </c>
      <c r="S89" s="92" t="str">
        <f t="shared" ca="1" si="10"/>
        <v/>
      </c>
      <c r="T89" s="92" t="str">
        <f t="shared" ca="1" si="10"/>
        <v/>
      </c>
      <c r="U89" s="68"/>
    </row>
    <row r="90" spans="1:21" s="54" customFormat="1" ht="13.5" customHeight="1">
      <c r="A90" s="45" t="str">
        <f t="shared" ca="1" si="11"/>
        <v/>
      </c>
      <c r="B90" s="45" t="str">
        <f t="shared" ca="1" si="11"/>
        <v/>
      </c>
      <c r="C90" s="45" t="str">
        <f t="shared" ca="1" si="11"/>
        <v/>
      </c>
      <c r="D90" s="92" t="str">
        <f t="shared" ca="1" si="11"/>
        <v/>
      </c>
      <c r="E90" s="92" t="str">
        <f t="shared" ca="1" si="11"/>
        <v/>
      </c>
      <c r="F90" s="92" t="str">
        <f t="shared" ca="1" si="11"/>
        <v/>
      </c>
      <c r="G90" s="92">
        <f t="shared" ca="1" si="11"/>
        <v>0</v>
      </c>
      <c r="H90" s="92">
        <f t="shared" ca="1" si="11"/>
        <v>0</v>
      </c>
      <c r="I90" s="92">
        <f t="shared" ca="1" si="11"/>
        <v>0</v>
      </c>
      <c r="J90" s="45" t="str">
        <f t="shared" ca="1" si="11"/>
        <v/>
      </c>
      <c r="K90" s="45" t="str">
        <f t="shared" ca="1" si="11"/>
        <v/>
      </c>
      <c r="L90" s="45" t="str">
        <f t="shared" ca="1" si="11"/>
        <v/>
      </c>
      <c r="M90" s="45" t="str">
        <f t="shared" ca="1" si="11"/>
        <v/>
      </c>
      <c r="N90" s="45" t="str">
        <f t="shared" ca="1" si="11"/>
        <v/>
      </c>
      <c r="O90" s="45" t="str">
        <f t="shared" ca="1" si="11"/>
        <v/>
      </c>
      <c r="P90" s="92">
        <f t="shared" ca="1" si="11"/>
        <v>0</v>
      </c>
      <c r="Q90" s="92" t="str">
        <f t="shared" ca="1" si="10"/>
        <v/>
      </c>
      <c r="R90" s="92">
        <f t="shared" ca="1" si="10"/>
        <v>0</v>
      </c>
      <c r="S90" s="92" t="str">
        <f t="shared" ca="1" si="10"/>
        <v/>
      </c>
      <c r="T90" s="92" t="str">
        <f t="shared" ca="1" si="10"/>
        <v/>
      </c>
      <c r="U90" s="68"/>
    </row>
    <row r="91" spans="1:21" s="54" customFormat="1" ht="13.5" customHeight="1">
      <c r="A91" s="45" t="str">
        <f t="shared" ca="1" si="11"/>
        <v/>
      </c>
      <c r="B91" s="45" t="str">
        <f t="shared" ca="1" si="11"/>
        <v/>
      </c>
      <c r="C91" s="45" t="str">
        <f t="shared" ca="1" si="11"/>
        <v/>
      </c>
      <c r="D91" s="92" t="str">
        <f t="shared" ca="1" si="11"/>
        <v/>
      </c>
      <c r="E91" s="92" t="str">
        <f t="shared" ca="1" si="11"/>
        <v/>
      </c>
      <c r="F91" s="92" t="str">
        <f t="shared" ca="1" si="11"/>
        <v/>
      </c>
      <c r="G91" s="92">
        <f t="shared" ca="1" si="11"/>
        <v>0</v>
      </c>
      <c r="H91" s="92">
        <f t="shared" ca="1" si="11"/>
        <v>0</v>
      </c>
      <c r="I91" s="92">
        <f t="shared" ca="1" si="11"/>
        <v>0</v>
      </c>
      <c r="J91" s="45" t="str">
        <f t="shared" ca="1" si="11"/>
        <v/>
      </c>
      <c r="K91" s="45" t="str">
        <f t="shared" ca="1" si="11"/>
        <v/>
      </c>
      <c r="L91" s="45" t="str">
        <f t="shared" ca="1" si="11"/>
        <v/>
      </c>
      <c r="M91" s="45" t="str">
        <f t="shared" ca="1" si="11"/>
        <v/>
      </c>
      <c r="N91" s="45" t="str">
        <f t="shared" ca="1" si="11"/>
        <v/>
      </c>
      <c r="O91" s="45" t="str">
        <f t="shared" ca="1" si="11"/>
        <v/>
      </c>
      <c r="P91" s="92">
        <f t="shared" ca="1" si="11"/>
        <v>0</v>
      </c>
      <c r="Q91" s="92" t="str">
        <f t="shared" ca="1" si="10"/>
        <v/>
      </c>
      <c r="R91" s="92">
        <f t="shared" ca="1" si="10"/>
        <v>0</v>
      </c>
      <c r="S91" s="92" t="str">
        <f t="shared" ca="1" si="10"/>
        <v/>
      </c>
      <c r="T91" s="92" t="str">
        <f t="shared" ca="1" si="10"/>
        <v/>
      </c>
      <c r="U91" s="68"/>
    </row>
    <row r="92" spans="1:21" s="54" customFormat="1" ht="13.5" customHeight="1">
      <c r="A92" s="45" t="str">
        <f t="shared" ca="1" si="11"/>
        <v/>
      </c>
      <c r="B92" s="45" t="str">
        <f t="shared" ca="1" si="11"/>
        <v/>
      </c>
      <c r="C92" s="45" t="str">
        <f t="shared" ca="1" si="11"/>
        <v/>
      </c>
      <c r="D92" s="92" t="str">
        <f t="shared" ca="1" si="11"/>
        <v/>
      </c>
      <c r="E92" s="92" t="str">
        <f t="shared" ca="1" si="11"/>
        <v/>
      </c>
      <c r="F92" s="92" t="str">
        <f t="shared" ca="1" si="11"/>
        <v/>
      </c>
      <c r="G92" s="92">
        <f t="shared" ca="1" si="11"/>
        <v>0</v>
      </c>
      <c r="H92" s="92">
        <f t="shared" ca="1" si="11"/>
        <v>0</v>
      </c>
      <c r="I92" s="92">
        <f t="shared" ca="1" si="11"/>
        <v>0</v>
      </c>
      <c r="J92" s="45" t="str">
        <f t="shared" ca="1" si="11"/>
        <v/>
      </c>
      <c r="K92" s="45" t="str">
        <f t="shared" ca="1" si="11"/>
        <v/>
      </c>
      <c r="L92" s="45" t="str">
        <f t="shared" ca="1" si="11"/>
        <v/>
      </c>
      <c r="M92" s="45" t="str">
        <f t="shared" ca="1" si="11"/>
        <v/>
      </c>
      <c r="N92" s="45" t="str">
        <f t="shared" ca="1" si="11"/>
        <v/>
      </c>
      <c r="O92" s="45" t="str">
        <f t="shared" ca="1" si="11"/>
        <v/>
      </c>
      <c r="P92" s="92">
        <f t="shared" ref="P92:T107" ca="1" si="12">IF(INDIRECT("제작의뢰서!"&amp;ADDRESS(ROW(),COLUMN()))="","",INDIRECT("제작의뢰서!"&amp;ADDRESS(ROW(),COLUMN())))</f>
        <v>0</v>
      </c>
      <c r="Q92" s="92" t="str">
        <f t="shared" ca="1" si="12"/>
        <v/>
      </c>
      <c r="R92" s="92">
        <f t="shared" ca="1" si="12"/>
        <v>0</v>
      </c>
      <c r="S92" s="92" t="str">
        <f t="shared" ca="1" si="12"/>
        <v/>
      </c>
      <c r="T92" s="92" t="str">
        <f t="shared" ca="1" si="12"/>
        <v/>
      </c>
      <c r="U92" s="68"/>
    </row>
    <row r="93" spans="1:21" s="54" customFormat="1" ht="13.5" customHeight="1">
      <c r="A93" s="45" t="str">
        <f t="shared" ref="A93:P108" ca="1" si="13">IF(INDIRECT("제작의뢰서!"&amp;ADDRESS(ROW(),COLUMN()))="","",INDIRECT("제작의뢰서!"&amp;ADDRESS(ROW(),COLUMN())))</f>
        <v/>
      </c>
      <c r="B93" s="45" t="str">
        <f t="shared" ca="1" si="13"/>
        <v/>
      </c>
      <c r="C93" s="45" t="str">
        <f t="shared" ca="1" si="13"/>
        <v/>
      </c>
      <c r="D93" s="92" t="str">
        <f t="shared" ca="1" si="13"/>
        <v/>
      </c>
      <c r="E93" s="92" t="str">
        <f t="shared" ca="1" si="13"/>
        <v/>
      </c>
      <c r="F93" s="92" t="str">
        <f t="shared" ca="1" si="13"/>
        <v/>
      </c>
      <c r="G93" s="92">
        <f t="shared" ca="1" si="13"/>
        <v>0</v>
      </c>
      <c r="H93" s="92">
        <f t="shared" ca="1" si="13"/>
        <v>0</v>
      </c>
      <c r="I93" s="92">
        <f t="shared" ca="1" si="13"/>
        <v>0</v>
      </c>
      <c r="J93" s="45" t="str">
        <f t="shared" ca="1" si="13"/>
        <v/>
      </c>
      <c r="K93" s="45" t="str">
        <f t="shared" ca="1" si="13"/>
        <v/>
      </c>
      <c r="L93" s="45" t="str">
        <f t="shared" ca="1" si="13"/>
        <v/>
      </c>
      <c r="M93" s="45" t="str">
        <f t="shared" ca="1" si="13"/>
        <v/>
      </c>
      <c r="N93" s="45" t="str">
        <f t="shared" ca="1" si="13"/>
        <v/>
      </c>
      <c r="O93" s="45" t="str">
        <f t="shared" ca="1" si="13"/>
        <v/>
      </c>
      <c r="P93" s="92">
        <f t="shared" ca="1" si="13"/>
        <v>0</v>
      </c>
      <c r="Q93" s="92" t="str">
        <f t="shared" ca="1" si="12"/>
        <v/>
      </c>
      <c r="R93" s="92">
        <f t="shared" ca="1" si="12"/>
        <v>0</v>
      </c>
      <c r="S93" s="92" t="str">
        <f t="shared" ca="1" si="12"/>
        <v/>
      </c>
      <c r="T93" s="92" t="str">
        <f t="shared" ca="1" si="12"/>
        <v/>
      </c>
    </row>
    <row r="94" spans="1:21" s="54" customFormat="1" ht="13.5" customHeight="1">
      <c r="A94" s="45" t="str">
        <f t="shared" ca="1" si="13"/>
        <v/>
      </c>
      <c r="B94" s="45" t="str">
        <f t="shared" ca="1" si="13"/>
        <v/>
      </c>
      <c r="C94" s="45" t="str">
        <f t="shared" ca="1" si="13"/>
        <v/>
      </c>
      <c r="D94" s="92" t="str">
        <f t="shared" ca="1" si="13"/>
        <v/>
      </c>
      <c r="E94" s="92" t="str">
        <f t="shared" ca="1" si="13"/>
        <v/>
      </c>
      <c r="F94" s="92" t="str">
        <f t="shared" ca="1" si="13"/>
        <v/>
      </c>
      <c r="G94" s="92">
        <f t="shared" ca="1" si="13"/>
        <v>0</v>
      </c>
      <c r="H94" s="92">
        <f t="shared" ca="1" si="13"/>
        <v>0</v>
      </c>
      <c r="I94" s="92">
        <f t="shared" ca="1" si="13"/>
        <v>0</v>
      </c>
      <c r="J94" s="45" t="str">
        <f t="shared" ca="1" si="13"/>
        <v/>
      </c>
      <c r="K94" s="45" t="str">
        <f t="shared" ca="1" si="13"/>
        <v/>
      </c>
      <c r="L94" s="45" t="str">
        <f t="shared" ca="1" si="13"/>
        <v/>
      </c>
      <c r="M94" s="45" t="str">
        <f t="shared" ca="1" si="13"/>
        <v/>
      </c>
      <c r="N94" s="45" t="str">
        <f t="shared" ca="1" si="13"/>
        <v/>
      </c>
      <c r="O94" s="45" t="str">
        <f t="shared" ca="1" si="13"/>
        <v/>
      </c>
      <c r="P94" s="92">
        <f t="shared" ca="1" si="13"/>
        <v>0</v>
      </c>
      <c r="Q94" s="92" t="str">
        <f t="shared" ca="1" si="12"/>
        <v/>
      </c>
      <c r="R94" s="92">
        <f t="shared" ca="1" si="12"/>
        <v>0</v>
      </c>
      <c r="S94" s="92" t="str">
        <f t="shared" ca="1" si="12"/>
        <v/>
      </c>
      <c r="T94" s="92" t="str">
        <f t="shared" ca="1" si="12"/>
        <v/>
      </c>
    </row>
    <row r="95" spans="1:21" s="54" customFormat="1" ht="13.5" customHeight="1">
      <c r="A95" s="45" t="str">
        <f t="shared" ca="1" si="13"/>
        <v/>
      </c>
      <c r="B95" s="45" t="str">
        <f t="shared" ca="1" si="13"/>
        <v/>
      </c>
      <c r="C95" s="45" t="str">
        <f t="shared" ca="1" si="13"/>
        <v/>
      </c>
      <c r="D95" s="92" t="str">
        <f t="shared" ca="1" si="13"/>
        <v/>
      </c>
      <c r="E95" s="92" t="str">
        <f t="shared" ca="1" si="13"/>
        <v/>
      </c>
      <c r="F95" s="92" t="str">
        <f t="shared" ca="1" si="13"/>
        <v/>
      </c>
      <c r="G95" s="92">
        <f t="shared" ca="1" si="13"/>
        <v>0</v>
      </c>
      <c r="H95" s="92">
        <f t="shared" ca="1" si="13"/>
        <v>0</v>
      </c>
      <c r="I95" s="92">
        <f t="shared" ca="1" si="13"/>
        <v>0</v>
      </c>
      <c r="J95" s="45" t="str">
        <f t="shared" ca="1" si="13"/>
        <v/>
      </c>
      <c r="K95" s="45" t="str">
        <f t="shared" ca="1" si="13"/>
        <v/>
      </c>
      <c r="L95" s="45" t="str">
        <f t="shared" ca="1" si="13"/>
        <v/>
      </c>
      <c r="M95" s="45" t="str">
        <f t="shared" ca="1" si="13"/>
        <v/>
      </c>
      <c r="N95" s="45" t="str">
        <f t="shared" ca="1" si="13"/>
        <v/>
      </c>
      <c r="O95" s="45" t="str">
        <f t="shared" ca="1" si="13"/>
        <v/>
      </c>
      <c r="P95" s="92">
        <f t="shared" ca="1" si="13"/>
        <v>0</v>
      </c>
      <c r="Q95" s="92" t="str">
        <f t="shared" ca="1" si="12"/>
        <v/>
      </c>
      <c r="R95" s="92">
        <f t="shared" ca="1" si="12"/>
        <v>0</v>
      </c>
      <c r="S95" s="92" t="str">
        <f t="shared" ca="1" si="12"/>
        <v/>
      </c>
      <c r="T95" s="92" t="str">
        <f t="shared" ca="1" si="12"/>
        <v/>
      </c>
    </row>
    <row r="96" spans="1:21" s="54" customFormat="1" ht="13.5" customHeight="1">
      <c r="A96" s="45" t="str">
        <f t="shared" ca="1" si="13"/>
        <v/>
      </c>
      <c r="B96" s="45" t="str">
        <f t="shared" ca="1" si="13"/>
        <v/>
      </c>
      <c r="C96" s="45" t="str">
        <f t="shared" ca="1" si="13"/>
        <v/>
      </c>
      <c r="D96" s="92" t="str">
        <f t="shared" ca="1" si="13"/>
        <v/>
      </c>
      <c r="E96" s="92" t="str">
        <f t="shared" ca="1" si="13"/>
        <v/>
      </c>
      <c r="F96" s="92" t="str">
        <f t="shared" ca="1" si="13"/>
        <v/>
      </c>
      <c r="G96" s="92">
        <f t="shared" ca="1" si="13"/>
        <v>0</v>
      </c>
      <c r="H96" s="92">
        <f t="shared" ca="1" si="13"/>
        <v>0</v>
      </c>
      <c r="I96" s="92">
        <f t="shared" ca="1" si="13"/>
        <v>0</v>
      </c>
      <c r="J96" s="45" t="str">
        <f t="shared" ca="1" si="13"/>
        <v/>
      </c>
      <c r="K96" s="45" t="str">
        <f t="shared" ca="1" si="13"/>
        <v/>
      </c>
      <c r="L96" s="45" t="str">
        <f t="shared" ca="1" si="13"/>
        <v/>
      </c>
      <c r="M96" s="45" t="str">
        <f t="shared" ca="1" si="13"/>
        <v/>
      </c>
      <c r="N96" s="45" t="str">
        <f t="shared" ca="1" si="13"/>
        <v/>
      </c>
      <c r="O96" s="45" t="str">
        <f t="shared" ca="1" si="13"/>
        <v/>
      </c>
      <c r="P96" s="92">
        <f t="shared" ca="1" si="13"/>
        <v>0</v>
      </c>
      <c r="Q96" s="92" t="str">
        <f t="shared" ca="1" si="12"/>
        <v/>
      </c>
      <c r="R96" s="92">
        <f t="shared" ca="1" si="12"/>
        <v>0</v>
      </c>
      <c r="S96" s="92" t="str">
        <f t="shared" ca="1" si="12"/>
        <v/>
      </c>
      <c r="T96" s="92" t="str">
        <f t="shared" ca="1" si="12"/>
        <v/>
      </c>
    </row>
    <row r="97" spans="1:20" s="54" customFormat="1" ht="13.5" customHeight="1">
      <c r="A97" s="45" t="str">
        <f t="shared" ca="1" si="13"/>
        <v/>
      </c>
      <c r="B97" s="45" t="str">
        <f t="shared" ca="1" si="13"/>
        <v/>
      </c>
      <c r="C97" s="45" t="str">
        <f t="shared" ca="1" si="13"/>
        <v/>
      </c>
      <c r="D97" s="92" t="str">
        <f t="shared" ca="1" si="13"/>
        <v/>
      </c>
      <c r="E97" s="92" t="str">
        <f t="shared" ca="1" si="13"/>
        <v/>
      </c>
      <c r="F97" s="92" t="str">
        <f t="shared" ca="1" si="13"/>
        <v/>
      </c>
      <c r="G97" s="92">
        <f t="shared" ca="1" si="13"/>
        <v>0</v>
      </c>
      <c r="H97" s="92">
        <f t="shared" ca="1" si="13"/>
        <v>0</v>
      </c>
      <c r="I97" s="92">
        <f t="shared" ca="1" si="13"/>
        <v>0</v>
      </c>
      <c r="J97" s="45" t="str">
        <f t="shared" ca="1" si="13"/>
        <v/>
      </c>
      <c r="K97" s="45" t="str">
        <f t="shared" ca="1" si="13"/>
        <v/>
      </c>
      <c r="L97" s="45" t="str">
        <f t="shared" ca="1" si="13"/>
        <v/>
      </c>
      <c r="M97" s="45" t="str">
        <f t="shared" ca="1" si="13"/>
        <v/>
      </c>
      <c r="N97" s="45" t="str">
        <f t="shared" ca="1" si="13"/>
        <v/>
      </c>
      <c r="O97" s="45" t="str">
        <f t="shared" ca="1" si="13"/>
        <v/>
      </c>
      <c r="P97" s="92">
        <f t="shared" ca="1" si="13"/>
        <v>0</v>
      </c>
      <c r="Q97" s="92" t="str">
        <f t="shared" ca="1" si="12"/>
        <v/>
      </c>
      <c r="R97" s="92">
        <f t="shared" ca="1" si="12"/>
        <v>0</v>
      </c>
      <c r="S97" s="92" t="str">
        <f t="shared" ca="1" si="12"/>
        <v/>
      </c>
      <c r="T97" s="92" t="str">
        <f t="shared" ca="1" si="12"/>
        <v/>
      </c>
    </row>
    <row r="98" spans="1:20" s="54" customFormat="1" ht="13.5" customHeight="1">
      <c r="A98" s="45" t="str">
        <f t="shared" ca="1" si="13"/>
        <v/>
      </c>
      <c r="B98" s="45" t="str">
        <f t="shared" ca="1" si="13"/>
        <v/>
      </c>
      <c r="C98" s="45" t="str">
        <f t="shared" ca="1" si="13"/>
        <v/>
      </c>
      <c r="D98" s="92" t="str">
        <f t="shared" ca="1" si="13"/>
        <v/>
      </c>
      <c r="E98" s="92" t="str">
        <f t="shared" ca="1" si="13"/>
        <v/>
      </c>
      <c r="F98" s="92" t="str">
        <f t="shared" ca="1" si="13"/>
        <v/>
      </c>
      <c r="G98" s="92">
        <f t="shared" ca="1" si="13"/>
        <v>0</v>
      </c>
      <c r="H98" s="92">
        <f t="shared" ca="1" si="13"/>
        <v>0</v>
      </c>
      <c r="I98" s="92">
        <f t="shared" ca="1" si="13"/>
        <v>0</v>
      </c>
      <c r="J98" s="45" t="str">
        <f t="shared" ca="1" si="13"/>
        <v/>
      </c>
      <c r="K98" s="45" t="str">
        <f t="shared" ca="1" si="13"/>
        <v/>
      </c>
      <c r="L98" s="45" t="str">
        <f t="shared" ca="1" si="13"/>
        <v/>
      </c>
      <c r="M98" s="45" t="str">
        <f t="shared" ca="1" si="13"/>
        <v/>
      </c>
      <c r="N98" s="45" t="str">
        <f t="shared" ca="1" si="13"/>
        <v/>
      </c>
      <c r="O98" s="45" t="str">
        <f t="shared" ca="1" si="13"/>
        <v/>
      </c>
      <c r="P98" s="92">
        <f t="shared" ca="1" si="13"/>
        <v>0</v>
      </c>
      <c r="Q98" s="92" t="str">
        <f t="shared" ca="1" si="12"/>
        <v/>
      </c>
      <c r="R98" s="92">
        <f t="shared" ca="1" si="12"/>
        <v>0</v>
      </c>
      <c r="S98" s="92" t="str">
        <f t="shared" ca="1" si="12"/>
        <v/>
      </c>
      <c r="T98" s="92" t="str">
        <f t="shared" ca="1" si="12"/>
        <v/>
      </c>
    </row>
    <row r="99" spans="1:20" s="54" customFormat="1" ht="13.5" customHeight="1">
      <c r="A99" s="45" t="str">
        <f t="shared" ca="1" si="13"/>
        <v/>
      </c>
      <c r="B99" s="45" t="str">
        <f t="shared" ca="1" si="13"/>
        <v/>
      </c>
      <c r="C99" s="45" t="str">
        <f t="shared" ca="1" si="13"/>
        <v/>
      </c>
      <c r="D99" s="92" t="str">
        <f t="shared" ca="1" si="13"/>
        <v/>
      </c>
      <c r="E99" s="92" t="str">
        <f t="shared" ca="1" si="13"/>
        <v/>
      </c>
      <c r="F99" s="92" t="str">
        <f t="shared" ca="1" si="13"/>
        <v/>
      </c>
      <c r="G99" s="92">
        <f t="shared" ca="1" si="13"/>
        <v>0</v>
      </c>
      <c r="H99" s="92">
        <f t="shared" ca="1" si="13"/>
        <v>0</v>
      </c>
      <c r="I99" s="92">
        <f t="shared" ca="1" si="13"/>
        <v>0</v>
      </c>
      <c r="J99" s="45" t="str">
        <f t="shared" ca="1" si="13"/>
        <v/>
      </c>
      <c r="K99" s="45" t="str">
        <f t="shared" ca="1" si="13"/>
        <v/>
      </c>
      <c r="L99" s="45" t="str">
        <f t="shared" ca="1" si="13"/>
        <v/>
      </c>
      <c r="M99" s="45" t="str">
        <f t="shared" ca="1" si="13"/>
        <v/>
      </c>
      <c r="N99" s="45" t="str">
        <f t="shared" ca="1" si="13"/>
        <v/>
      </c>
      <c r="O99" s="45" t="str">
        <f t="shared" ca="1" si="13"/>
        <v/>
      </c>
      <c r="P99" s="92">
        <f t="shared" ca="1" si="13"/>
        <v>0</v>
      </c>
      <c r="Q99" s="92" t="str">
        <f t="shared" ca="1" si="12"/>
        <v/>
      </c>
      <c r="R99" s="92">
        <f t="shared" ca="1" si="12"/>
        <v>0</v>
      </c>
      <c r="S99" s="92" t="str">
        <f t="shared" ca="1" si="12"/>
        <v/>
      </c>
      <c r="T99" s="92" t="str">
        <f t="shared" ca="1" si="12"/>
        <v/>
      </c>
    </row>
    <row r="100" spans="1:20" s="54" customFormat="1" ht="13.5" customHeight="1">
      <c r="A100" s="45" t="str">
        <f t="shared" ca="1" si="13"/>
        <v/>
      </c>
      <c r="B100" s="45" t="str">
        <f t="shared" ca="1" si="13"/>
        <v/>
      </c>
      <c r="C100" s="45" t="str">
        <f t="shared" ca="1" si="13"/>
        <v/>
      </c>
      <c r="D100" s="92" t="str">
        <f t="shared" ca="1" si="13"/>
        <v/>
      </c>
      <c r="E100" s="92" t="str">
        <f t="shared" ca="1" si="13"/>
        <v/>
      </c>
      <c r="F100" s="92" t="str">
        <f t="shared" ca="1" si="13"/>
        <v/>
      </c>
      <c r="G100" s="92">
        <f t="shared" ca="1" si="13"/>
        <v>0</v>
      </c>
      <c r="H100" s="92">
        <f t="shared" ca="1" si="13"/>
        <v>0</v>
      </c>
      <c r="I100" s="92">
        <f t="shared" ca="1" si="13"/>
        <v>0</v>
      </c>
      <c r="J100" s="45" t="str">
        <f t="shared" ca="1" si="13"/>
        <v/>
      </c>
      <c r="K100" s="45" t="str">
        <f t="shared" ca="1" si="13"/>
        <v/>
      </c>
      <c r="L100" s="45" t="str">
        <f t="shared" ca="1" si="13"/>
        <v/>
      </c>
      <c r="M100" s="45" t="str">
        <f t="shared" ca="1" si="13"/>
        <v/>
      </c>
      <c r="N100" s="45" t="str">
        <f t="shared" ca="1" si="13"/>
        <v/>
      </c>
      <c r="O100" s="45" t="str">
        <f t="shared" ca="1" si="13"/>
        <v/>
      </c>
      <c r="P100" s="92">
        <f t="shared" ca="1" si="13"/>
        <v>0</v>
      </c>
      <c r="Q100" s="92" t="str">
        <f t="shared" ca="1" si="12"/>
        <v/>
      </c>
      <c r="R100" s="92">
        <f t="shared" ca="1" si="12"/>
        <v>0</v>
      </c>
      <c r="S100" s="92" t="str">
        <f t="shared" ca="1" si="12"/>
        <v/>
      </c>
      <c r="T100" s="92" t="str">
        <f t="shared" ca="1" si="12"/>
        <v/>
      </c>
    </row>
    <row r="101" spans="1:20" s="54" customFormat="1" ht="13.5" customHeight="1">
      <c r="A101" s="45" t="str">
        <f t="shared" ca="1" si="13"/>
        <v/>
      </c>
      <c r="B101" s="45" t="str">
        <f t="shared" ca="1" si="13"/>
        <v/>
      </c>
      <c r="C101" s="45" t="str">
        <f t="shared" ca="1" si="13"/>
        <v/>
      </c>
      <c r="D101" s="92" t="str">
        <f t="shared" ca="1" si="13"/>
        <v/>
      </c>
      <c r="E101" s="92" t="str">
        <f t="shared" ca="1" si="13"/>
        <v/>
      </c>
      <c r="F101" s="92" t="str">
        <f t="shared" ca="1" si="13"/>
        <v/>
      </c>
      <c r="G101" s="92">
        <f t="shared" ca="1" si="13"/>
        <v>0</v>
      </c>
      <c r="H101" s="92">
        <f t="shared" ca="1" si="13"/>
        <v>0</v>
      </c>
      <c r="I101" s="92">
        <f t="shared" ca="1" si="13"/>
        <v>0</v>
      </c>
      <c r="J101" s="45" t="str">
        <f t="shared" ca="1" si="13"/>
        <v/>
      </c>
      <c r="K101" s="45" t="str">
        <f t="shared" ca="1" si="13"/>
        <v/>
      </c>
      <c r="L101" s="45" t="str">
        <f t="shared" ca="1" si="13"/>
        <v/>
      </c>
      <c r="M101" s="45" t="str">
        <f t="shared" ca="1" si="13"/>
        <v/>
      </c>
      <c r="N101" s="45" t="str">
        <f t="shared" ca="1" si="13"/>
        <v/>
      </c>
      <c r="O101" s="45" t="str">
        <f t="shared" ca="1" si="13"/>
        <v/>
      </c>
      <c r="P101" s="92">
        <f t="shared" ca="1" si="13"/>
        <v>0</v>
      </c>
      <c r="Q101" s="92" t="str">
        <f t="shared" ca="1" si="12"/>
        <v/>
      </c>
      <c r="R101" s="92">
        <f t="shared" ca="1" si="12"/>
        <v>0</v>
      </c>
      <c r="S101" s="92" t="str">
        <f t="shared" ca="1" si="12"/>
        <v/>
      </c>
      <c r="T101" s="92" t="str">
        <f t="shared" ca="1" si="12"/>
        <v/>
      </c>
    </row>
    <row r="102" spans="1:20" s="54" customFormat="1" ht="13.5" customHeight="1">
      <c r="A102" s="45" t="str">
        <f t="shared" ca="1" si="13"/>
        <v/>
      </c>
      <c r="B102" s="45" t="str">
        <f t="shared" ca="1" si="13"/>
        <v/>
      </c>
      <c r="C102" s="45" t="str">
        <f t="shared" ca="1" si="13"/>
        <v/>
      </c>
      <c r="D102" s="92" t="str">
        <f t="shared" ca="1" si="13"/>
        <v/>
      </c>
      <c r="E102" s="92" t="str">
        <f t="shared" ca="1" si="13"/>
        <v/>
      </c>
      <c r="F102" s="92" t="str">
        <f t="shared" ca="1" si="13"/>
        <v/>
      </c>
      <c r="G102" s="92">
        <f t="shared" ca="1" si="13"/>
        <v>0</v>
      </c>
      <c r="H102" s="92">
        <f t="shared" ca="1" si="13"/>
        <v>0</v>
      </c>
      <c r="I102" s="92">
        <f t="shared" ca="1" si="13"/>
        <v>0</v>
      </c>
      <c r="J102" s="45" t="str">
        <f t="shared" ca="1" si="13"/>
        <v/>
      </c>
      <c r="K102" s="45" t="str">
        <f t="shared" ca="1" si="13"/>
        <v/>
      </c>
      <c r="L102" s="45" t="str">
        <f t="shared" ca="1" si="13"/>
        <v/>
      </c>
      <c r="M102" s="45" t="str">
        <f t="shared" ca="1" si="13"/>
        <v/>
      </c>
      <c r="N102" s="45" t="str">
        <f t="shared" ca="1" si="13"/>
        <v/>
      </c>
      <c r="O102" s="45" t="str">
        <f t="shared" ca="1" si="13"/>
        <v/>
      </c>
      <c r="P102" s="92">
        <f t="shared" ca="1" si="13"/>
        <v>0</v>
      </c>
      <c r="Q102" s="92" t="str">
        <f t="shared" ca="1" si="12"/>
        <v/>
      </c>
      <c r="R102" s="92">
        <f t="shared" ca="1" si="12"/>
        <v>0</v>
      </c>
      <c r="S102" s="92" t="str">
        <f t="shared" ca="1" si="12"/>
        <v/>
      </c>
      <c r="T102" s="92" t="str">
        <f t="shared" ca="1" si="12"/>
        <v/>
      </c>
    </row>
    <row r="103" spans="1:20" s="54" customFormat="1" ht="13.5" customHeight="1">
      <c r="A103" s="45" t="str">
        <f t="shared" ca="1" si="13"/>
        <v/>
      </c>
      <c r="B103" s="45" t="str">
        <f t="shared" ca="1" si="13"/>
        <v/>
      </c>
      <c r="C103" s="45" t="str">
        <f t="shared" ca="1" si="13"/>
        <v/>
      </c>
      <c r="D103" s="92" t="str">
        <f t="shared" ca="1" si="13"/>
        <v/>
      </c>
      <c r="E103" s="92" t="str">
        <f t="shared" ca="1" si="13"/>
        <v/>
      </c>
      <c r="F103" s="92" t="str">
        <f t="shared" ca="1" si="13"/>
        <v/>
      </c>
      <c r="G103" s="92">
        <f t="shared" ca="1" si="13"/>
        <v>0</v>
      </c>
      <c r="H103" s="92">
        <f t="shared" ca="1" si="13"/>
        <v>0</v>
      </c>
      <c r="I103" s="92">
        <f t="shared" ca="1" si="13"/>
        <v>0</v>
      </c>
      <c r="J103" s="45" t="str">
        <f t="shared" ca="1" si="13"/>
        <v/>
      </c>
      <c r="K103" s="45" t="str">
        <f t="shared" ca="1" si="13"/>
        <v/>
      </c>
      <c r="L103" s="45" t="str">
        <f t="shared" ca="1" si="13"/>
        <v/>
      </c>
      <c r="M103" s="45" t="str">
        <f t="shared" ca="1" si="13"/>
        <v/>
      </c>
      <c r="N103" s="45" t="str">
        <f t="shared" ca="1" si="13"/>
        <v/>
      </c>
      <c r="O103" s="45" t="str">
        <f t="shared" ca="1" si="13"/>
        <v/>
      </c>
      <c r="P103" s="92">
        <f t="shared" ca="1" si="13"/>
        <v>0</v>
      </c>
      <c r="Q103" s="92" t="str">
        <f t="shared" ca="1" si="12"/>
        <v/>
      </c>
      <c r="R103" s="92">
        <f t="shared" ca="1" si="12"/>
        <v>0</v>
      </c>
      <c r="S103" s="92" t="str">
        <f t="shared" ca="1" si="12"/>
        <v/>
      </c>
      <c r="T103" s="92" t="str">
        <f t="shared" ca="1" si="12"/>
        <v/>
      </c>
    </row>
    <row r="104" spans="1:20" s="54" customFormat="1" ht="13.5" customHeight="1">
      <c r="A104" s="45" t="str">
        <f t="shared" ca="1" si="13"/>
        <v/>
      </c>
      <c r="B104" s="45" t="str">
        <f t="shared" ca="1" si="13"/>
        <v/>
      </c>
      <c r="C104" s="45" t="str">
        <f t="shared" ca="1" si="13"/>
        <v/>
      </c>
      <c r="D104" s="92" t="str">
        <f t="shared" ca="1" si="13"/>
        <v/>
      </c>
      <c r="E104" s="92" t="str">
        <f t="shared" ca="1" si="13"/>
        <v/>
      </c>
      <c r="F104" s="92" t="str">
        <f t="shared" ca="1" si="13"/>
        <v/>
      </c>
      <c r="G104" s="92">
        <f t="shared" ca="1" si="13"/>
        <v>0</v>
      </c>
      <c r="H104" s="92">
        <f t="shared" ca="1" si="13"/>
        <v>0</v>
      </c>
      <c r="I104" s="92">
        <f t="shared" ca="1" si="13"/>
        <v>0</v>
      </c>
      <c r="J104" s="45" t="str">
        <f t="shared" ca="1" si="13"/>
        <v/>
      </c>
      <c r="K104" s="45" t="str">
        <f t="shared" ca="1" si="13"/>
        <v/>
      </c>
      <c r="L104" s="45" t="str">
        <f t="shared" ca="1" si="13"/>
        <v/>
      </c>
      <c r="M104" s="45" t="str">
        <f t="shared" ca="1" si="13"/>
        <v/>
      </c>
      <c r="N104" s="45" t="str">
        <f t="shared" ca="1" si="13"/>
        <v/>
      </c>
      <c r="O104" s="45" t="str">
        <f t="shared" ca="1" si="13"/>
        <v/>
      </c>
      <c r="P104" s="92">
        <f t="shared" ca="1" si="13"/>
        <v>0</v>
      </c>
      <c r="Q104" s="92" t="str">
        <f t="shared" ca="1" si="12"/>
        <v/>
      </c>
      <c r="R104" s="92">
        <f t="shared" ca="1" si="12"/>
        <v>0</v>
      </c>
      <c r="S104" s="92" t="str">
        <f t="shared" ca="1" si="12"/>
        <v/>
      </c>
      <c r="T104" s="92" t="str">
        <f t="shared" ca="1" si="12"/>
        <v/>
      </c>
    </row>
    <row r="105" spans="1:20" s="54" customFormat="1" ht="13.5" customHeight="1">
      <c r="A105" s="45" t="str">
        <f t="shared" ca="1" si="13"/>
        <v/>
      </c>
      <c r="B105" s="45" t="str">
        <f t="shared" ca="1" si="13"/>
        <v/>
      </c>
      <c r="C105" s="45" t="str">
        <f t="shared" ca="1" si="13"/>
        <v/>
      </c>
      <c r="D105" s="92" t="str">
        <f t="shared" ca="1" si="13"/>
        <v/>
      </c>
      <c r="E105" s="92" t="str">
        <f t="shared" ca="1" si="13"/>
        <v/>
      </c>
      <c r="F105" s="92" t="str">
        <f t="shared" ca="1" si="13"/>
        <v/>
      </c>
      <c r="G105" s="92">
        <f t="shared" ca="1" si="13"/>
        <v>0</v>
      </c>
      <c r="H105" s="92">
        <f t="shared" ca="1" si="13"/>
        <v>0</v>
      </c>
      <c r="I105" s="92">
        <f t="shared" ca="1" si="13"/>
        <v>0</v>
      </c>
      <c r="J105" s="45" t="str">
        <f t="shared" ca="1" si="13"/>
        <v/>
      </c>
      <c r="K105" s="45" t="str">
        <f t="shared" ca="1" si="13"/>
        <v/>
      </c>
      <c r="L105" s="45" t="str">
        <f t="shared" ca="1" si="13"/>
        <v/>
      </c>
      <c r="M105" s="45" t="str">
        <f t="shared" ca="1" si="13"/>
        <v/>
      </c>
      <c r="N105" s="45" t="str">
        <f t="shared" ca="1" si="13"/>
        <v/>
      </c>
      <c r="O105" s="45" t="str">
        <f t="shared" ca="1" si="13"/>
        <v/>
      </c>
      <c r="P105" s="92">
        <f t="shared" ca="1" si="13"/>
        <v>0</v>
      </c>
      <c r="Q105" s="92" t="str">
        <f t="shared" ca="1" si="12"/>
        <v/>
      </c>
      <c r="R105" s="92">
        <f t="shared" ca="1" si="12"/>
        <v>0</v>
      </c>
      <c r="S105" s="92" t="str">
        <f t="shared" ca="1" si="12"/>
        <v/>
      </c>
      <c r="T105" s="92" t="str">
        <f t="shared" ca="1" si="12"/>
        <v/>
      </c>
    </row>
    <row r="106" spans="1:20" s="54" customFormat="1" ht="13.5" customHeight="1">
      <c r="A106" s="45" t="str">
        <f t="shared" ca="1" si="13"/>
        <v/>
      </c>
      <c r="B106" s="45" t="str">
        <f t="shared" ca="1" si="13"/>
        <v/>
      </c>
      <c r="C106" s="45" t="str">
        <f t="shared" ca="1" si="13"/>
        <v/>
      </c>
      <c r="D106" s="92" t="str">
        <f t="shared" ca="1" si="13"/>
        <v/>
      </c>
      <c r="E106" s="92" t="str">
        <f t="shared" ca="1" si="13"/>
        <v/>
      </c>
      <c r="F106" s="92" t="str">
        <f t="shared" ca="1" si="13"/>
        <v/>
      </c>
      <c r="G106" s="92">
        <f t="shared" ca="1" si="13"/>
        <v>0</v>
      </c>
      <c r="H106" s="92">
        <f t="shared" ca="1" si="13"/>
        <v>0</v>
      </c>
      <c r="I106" s="92">
        <f t="shared" ca="1" si="13"/>
        <v>0</v>
      </c>
      <c r="J106" s="45" t="str">
        <f t="shared" ca="1" si="13"/>
        <v/>
      </c>
      <c r="K106" s="45" t="str">
        <f t="shared" ca="1" si="13"/>
        <v/>
      </c>
      <c r="L106" s="45" t="str">
        <f t="shared" ca="1" si="13"/>
        <v/>
      </c>
      <c r="M106" s="45" t="str">
        <f t="shared" ca="1" si="13"/>
        <v/>
      </c>
      <c r="N106" s="45" t="str">
        <f t="shared" ca="1" si="13"/>
        <v/>
      </c>
      <c r="O106" s="45" t="str">
        <f t="shared" ca="1" si="13"/>
        <v/>
      </c>
      <c r="P106" s="92">
        <f t="shared" ca="1" si="13"/>
        <v>0</v>
      </c>
      <c r="Q106" s="92" t="str">
        <f t="shared" ca="1" si="12"/>
        <v/>
      </c>
      <c r="R106" s="92">
        <f t="shared" ca="1" si="12"/>
        <v>0</v>
      </c>
      <c r="S106" s="92" t="str">
        <f t="shared" ca="1" si="12"/>
        <v/>
      </c>
      <c r="T106" s="92" t="str">
        <f t="shared" ca="1" si="12"/>
        <v/>
      </c>
    </row>
    <row r="107" spans="1:20" s="54" customFormat="1" ht="13.5" customHeight="1">
      <c r="A107" s="45" t="str">
        <f t="shared" ca="1" si="13"/>
        <v/>
      </c>
      <c r="B107" s="45" t="str">
        <f t="shared" ca="1" si="13"/>
        <v/>
      </c>
      <c r="C107" s="45" t="str">
        <f t="shared" ca="1" si="13"/>
        <v/>
      </c>
      <c r="D107" s="92" t="str">
        <f t="shared" ca="1" si="13"/>
        <v/>
      </c>
      <c r="E107" s="92" t="str">
        <f t="shared" ca="1" si="13"/>
        <v/>
      </c>
      <c r="F107" s="92" t="str">
        <f t="shared" ca="1" si="13"/>
        <v/>
      </c>
      <c r="G107" s="92">
        <f t="shared" ca="1" si="13"/>
        <v>0</v>
      </c>
      <c r="H107" s="92">
        <f t="shared" ca="1" si="13"/>
        <v>0</v>
      </c>
      <c r="I107" s="92">
        <f t="shared" ca="1" si="13"/>
        <v>0</v>
      </c>
      <c r="J107" s="45" t="str">
        <f t="shared" ca="1" si="13"/>
        <v/>
      </c>
      <c r="K107" s="45" t="str">
        <f t="shared" ca="1" si="13"/>
        <v/>
      </c>
      <c r="L107" s="45" t="str">
        <f t="shared" ca="1" si="13"/>
        <v/>
      </c>
      <c r="M107" s="45" t="str">
        <f t="shared" ca="1" si="13"/>
        <v/>
      </c>
      <c r="N107" s="45" t="str">
        <f t="shared" ca="1" si="13"/>
        <v/>
      </c>
      <c r="O107" s="45" t="str">
        <f t="shared" ca="1" si="13"/>
        <v/>
      </c>
      <c r="P107" s="92">
        <f t="shared" ca="1" si="13"/>
        <v>0</v>
      </c>
      <c r="Q107" s="92" t="str">
        <f t="shared" ca="1" si="12"/>
        <v/>
      </c>
      <c r="R107" s="92">
        <f t="shared" ca="1" si="12"/>
        <v>0</v>
      </c>
      <c r="S107" s="92" t="str">
        <f t="shared" ca="1" si="12"/>
        <v/>
      </c>
      <c r="T107" s="92" t="str">
        <f t="shared" ca="1" si="12"/>
        <v/>
      </c>
    </row>
    <row r="108" spans="1:20" s="54" customFormat="1" ht="13.5" customHeight="1">
      <c r="A108" s="45" t="str">
        <f t="shared" ca="1" si="13"/>
        <v/>
      </c>
      <c r="B108" s="45" t="str">
        <f t="shared" ca="1" si="13"/>
        <v/>
      </c>
      <c r="C108" s="45" t="str">
        <f t="shared" ca="1" si="13"/>
        <v/>
      </c>
      <c r="D108" s="92" t="str">
        <f t="shared" ca="1" si="13"/>
        <v/>
      </c>
      <c r="E108" s="92" t="str">
        <f t="shared" ca="1" si="13"/>
        <v/>
      </c>
      <c r="F108" s="92" t="str">
        <f t="shared" ca="1" si="13"/>
        <v/>
      </c>
      <c r="G108" s="92">
        <f t="shared" ca="1" si="13"/>
        <v>0</v>
      </c>
      <c r="H108" s="92">
        <f t="shared" ca="1" si="13"/>
        <v>0</v>
      </c>
      <c r="I108" s="92">
        <f t="shared" ca="1" si="13"/>
        <v>0</v>
      </c>
      <c r="J108" s="45" t="str">
        <f t="shared" ca="1" si="13"/>
        <v/>
      </c>
      <c r="K108" s="45" t="str">
        <f t="shared" ca="1" si="13"/>
        <v/>
      </c>
      <c r="L108" s="45" t="str">
        <f t="shared" ca="1" si="13"/>
        <v/>
      </c>
      <c r="M108" s="45" t="str">
        <f t="shared" ca="1" si="13"/>
        <v/>
      </c>
      <c r="N108" s="45" t="str">
        <f t="shared" ca="1" si="13"/>
        <v/>
      </c>
      <c r="O108" s="45" t="str">
        <f t="shared" ca="1" si="13"/>
        <v/>
      </c>
      <c r="P108" s="92">
        <f t="shared" ref="P108:T123" ca="1" si="14">IF(INDIRECT("제작의뢰서!"&amp;ADDRESS(ROW(),COLUMN()))="","",INDIRECT("제작의뢰서!"&amp;ADDRESS(ROW(),COLUMN())))</f>
        <v>0</v>
      </c>
      <c r="Q108" s="92" t="str">
        <f t="shared" ca="1" si="14"/>
        <v/>
      </c>
      <c r="R108" s="92">
        <f t="shared" ca="1" si="14"/>
        <v>0</v>
      </c>
      <c r="S108" s="92" t="str">
        <f t="shared" ca="1" si="14"/>
        <v/>
      </c>
      <c r="T108" s="92" t="str">
        <f t="shared" ca="1" si="14"/>
        <v/>
      </c>
    </row>
    <row r="109" spans="1:20" s="54" customFormat="1" ht="13.5" customHeight="1">
      <c r="A109" s="45" t="str">
        <f t="shared" ref="A109:P124" ca="1" si="15">IF(INDIRECT("제작의뢰서!"&amp;ADDRESS(ROW(),COLUMN()))="","",INDIRECT("제작의뢰서!"&amp;ADDRESS(ROW(),COLUMN())))</f>
        <v/>
      </c>
      <c r="B109" s="45" t="str">
        <f t="shared" ca="1" si="15"/>
        <v/>
      </c>
      <c r="C109" s="45" t="str">
        <f t="shared" ca="1" si="15"/>
        <v/>
      </c>
      <c r="D109" s="92" t="str">
        <f t="shared" ca="1" si="15"/>
        <v/>
      </c>
      <c r="E109" s="92" t="str">
        <f t="shared" ca="1" si="15"/>
        <v/>
      </c>
      <c r="F109" s="92" t="str">
        <f t="shared" ca="1" si="15"/>
        <v/>
      </c>
      <c r="G109" s="92">
        <f t="shared" ca="1" si="15"/>
        <v>0</v>
      </c>
      <c r="H109" s="92">
        <f t="shared" ca="1" si="15"/>
        <v>0</v>
      </c>
      <c r="I109" s="92">
        <f t="shared" ca="1" si="15"/>
        <v>0</v>
      </c>
      <c r="J109" s="45" t="str">
        <f t="shared" ca="1" si="15"/>
        <v/>
      </c>
      <c r="K109" s="45" t="str">
        <f t="shared" ca="1" si="15"/>
        <v/>
      </c>
      <c r="L109" s="45" t="str">
        <f t="shared" ca="1" si="15"/>
        <v/>
      </c>
      <c r="M109" s="45" t="str">
        <f t="shared" ca="1" si="15"/>
        <v/>
      </c>
      <c r="N109" s="45" t="str">
        <f t="shared" ca="1" si="15"/>
        <v/>
      </c>
      <c r="O109" s="45" t="str">
        <f t="shared" ca="1" si="15"/>
        <v/>
      </c>
      <c r="P109" s="92">
        <f t="shared" ca="1" si="15"/>
        <v>0</v>
      </c>
      <c r="Q109" s="92" t="str">
        <f t="shared" ca="1" si="14"/>
        <v/>
      </c>
      <c r="R109" s="92">
        <f t="shared" ca="1" si="14"/>
        <v>0</v>
      </c>
      <c r="S109" s="92" t="str">
        <f t="shared" ca="1" si="14"/>
        <v/>
      </c>
      <c r="T109" s="92" t="str">
        <f t="shared" ca="1" si="14"/>
        <v/>
      </c>
    </row>
    <row r="110" spans="1:20" s="54" customFormat="1" ht="13.5" customHeight="1">
      <c r="A110" s="45" t="str">
        <f t="shared" ca="1" si="15"/>
        <v/>
      </c>
      <c r="B110" s="45" t="str">
        <f t="shared" ca="1" si="15"/>
        <v/>
      </c>
      <c r="C110" s="45" t="str">
        <f t="shared" ca="1" si="15"/>
        <v/>
      </c>
      <c r="D110" s="92" t="str">
        <f t="shared" ca="1" si="15"/>
        <v/>
      </c>
      <c r="E110" s="92" t="str">
        <f t="shared" ca="1" si="15"/>
        <v/>
      </c>
      <c r="F110" s="92" t="str">
        <f t="shared" ca="1" si="15"/>
        <v/>
      </c>
      <c r="G110" s="92">
        <f t="shared" ca="1" si="15"/>
        <v>0</v>
      </c>
      <c r="H110" s="92">
        <f t="shared" ca="1" si="15"/>
        <v>0</v>
      </c>
      <c r="I110" s="92">
        <f t="shared" ca="1" si="15"/>
        <v>0</v>
      </c>
      <c r="J110" s="45" t="str">
        <f t="shared" ca="1" si="15"/>
        <v/>
      </c>
      <c r="K110" s="45" t="str">
        <f t="shared" ca="1" si="15"/>
        <v/>
      </c>
      <c r="L110" s="45" t="str">
        <f t="shared" ca="1" si="15"/>
        <v/>
      </c>
      <c r="M110" s="45" t="str">
        <f t="shared" ca="1" si="15"/>
        <v/>
      </c>
      <c r="N110" s="45" t="str">
        <f t="shared" ca="1" si="15"/>
        <v/>
      </c>
      <c r="O110" s="45" t="str">
        <f t="shared" ca="1" si="15"/>
        <v/>
      </c>
      <c r="P110" s="92">
        <f t="shared" ca="1" si="15"/>
        <v>0</v>
      </c>
      <c r="Q110" s="92" t="str">
        <f t="shared" ca="1" si="14"/>
        <v/>
      </c>
      <c r="R110" s="92">
        <f t="shared" ca="1" si="14"/>
        <v>0</v>
      </c>
      <c r="S110" s="92" t="str">
        <f t="shared" ca="1" si="14"/>
        <v/>
      </c>
      <c r="T110" s="92" t="str">
        <f t="shared" ca="1" si="14"/>
        <v/>
      </c>
    </row>
    <row r="111" spans="1:20" s="54" customFormat="1" ht="13.5" customHeight="1">
      <c r="A111" s="45" t="str">
        <f t="shared" ca="1" si="15"/>
        <v/>
      </c>
      <c r="B111" s="45" t="str">
        <f t="shared" ca="1" si="15"/>
        <v/>
      </c>
      <c r="C111" s="45" t="str">
        <f t="shared" ca="1" si="15"/>
        <v/>
      </c>
      <c r="D111" s="92" t="str">
        <f t="shared" ca="1" si="15"/>
        <v/>
      </c>
      <c r="E111" s="92" t="str">
        <f t="shared" ca="1" si="15"/>
        <v/>
      </c>
      <c r="F111" s="92" t="str">
        <f t="shared" ca="1" si="15"/>
        <v/>
      </c>
      <c r="G111" s="92">
        <f t="shared" ca="1" si="15"/>
        <v>0</v>
      </c>
      <c r="H111" s="92">
        <f t="shared" ca="1" si="15"/>
        <v>0</v>
      </c>
      <c r="I111" s="92">
        <f t="shared" ca="1" si="15"/>
        <v>0</v>
      </c>
      <c r="J111" s="45" t="str">
        <f t="shared" ca="1" si="15"/>
        <v/>
      </c>
      <c r="K111" s="45" t="str">
        <f t="shared" ca="1" si="15"/>
        <v/>
      </c>
      <c r="L111" s="45" t="str">
        <f t="shared" ca="1" si="15"/>
        <v/>
      </c>
      <c r="M111" s="45" t="str">
        <f t="shared" ca="1" si="15"/>
        <v/>
      </c>
      <c r="N111" s="45" t="str">
        <f t="shared" ca="1" si="15"/>
        <v/>
      </c>
      <c r="O111" s="45" t="str">
        <f t="shared" ca="1" si="15"/>
        <v/>
      </c>
      <c r="P111" s="92">
        <f t="shared" ca="1" si="15"/>
        <v>0</v>
      </c>
      <c r="Q111" s="92" t="str">
        <f t="shared" ca="1" si="14"/>
        <v/>
      </c>
      <c r="R111" s="92">
        <f t="shared" ca="1" si="14"/>
        <v>0</v>
      </c>
      <c r="S111" s="92" t="str">
        <f t="shared" ca="1" si="14"/>
        <v/>
      </c>
      <c r="T111" s="92" t="str">
        <f t="shared" ca="1" si="14"/>
        <v/>
      </c>
    </row>
    <row r="112" spans="1:20" s="54" customFormat="1" ht="13.5" customHeight="1">
      <c r="A112" s="45" t="str">
        <f t="shared" ca="1" si="15"/>
        <v/>
      </c>
      <c r="B112" s="45" t="str">
        <f t="shared" ca="1" si="15"/>
        <v/>
      </c>
      <c r="C112" s="45" t="str">
        <f t="shared" ca="1" si="15"/>
        <v/>
      </c>
      <c r="D112" s="92" t="str">
        <f t="shared" ca="1" si="15"/>
        <v/>
      </c>
      <c r="E112" s="92" t="str">
        <f t="shared" ca="1" si="15"/>
        <v/>
      </c>
      <c r="F112" s="92" t="str">
        <f t="shared" ca="1" si="15"/>
        <v/>
      </c>
      <c r="G112" s="92">
        <f t="shared" ca="1" si="15"/>
        <v>0</v>
      </c>
      <c r="H112" s="92">
        <f t="shared" ca="1" si="15"/>
        <v>0</v>
      </c>
      <c r="I112" s="92">
        <f t="shared" ca="1" si="15"/>
        <v>0</v>
      </c>
      <c r="J112" s="45" t="str">
        <f t="shared" ca="1" si="15"/>
        <v/>
      </c>
      <c r="K112" s="45" t="str">
        <f t="shared" ca="1" si="15"/>
        <v/>
      </c>
      <c r="L112" s="45" t="str">
        <f t="shared" ca="1" si="15"/>
        <v/>
      </c>
      <c r="M112" s="45" t="str">
        <f t="shared" ca="1" si="15"/>
        <v/>
      </c>
      <c r="N112" s="45" t="str">
        <f t="shared" ca="1" si="15"/>
        <v/>
      </c>
      <c r="O112" s="45" t="str">
        <f t="shared" ca="1" si="15"/>
        <v/>
      </c>
      <c r="P112" s="92">
        <f t="shared" ca="1" si="15"/>
        <v>0</v>
      </c>
      <c r="Q112" s="92" t="str">
        <f t="shared" ca="1" si="14"/>
        <v/>
      </c>
      <c r="R112" s="92">
        <f t="shared" ca="1" si="14"/>
        <v>0</v>
      </c>
      <c r="S112" s="92" t="str">
        <f t="shared" ca="1" si="14"/>
        <v/>
      </c>
      <c r="T112" s="92" t="str">
        <f t="shared" ca="1" si="14"/>
        <v/>
      </c>
    </row>
    <row r="113" spans="1:20" s="54" customFormat="1" ht="13.5" customHeight="1">
      <c r="A113" s="45" t="str">
        <f t="shared" ca="1" si="15"/>
        <v/>
      </c>
      <c r="B113" s="45" t="str">
        <f t="shared" ca="1" si="15"/>
        <v/>
      </c>
      <c r="C113" s="45" t="str">
        <f t="shared" ca="1" si="15"/>
        <v/>
      </c>
      <c r="D113" s="92" t="str">
        <f t="shared" ca="1" si="15"/>
        <v/>
      </c>
      <c r="E113" s="92" t="str">
        <f t="shared" ca="1" si="15"/>
        <v/>
      </c>
      <c r="F113" s="92" t="str">
        <f t="shared" ca="1" si="15"/>
        <v/>
      </c>
      <c r="G113" s="92">
        <f t="shared" ca="1" si="15"/>
        <v>0</v>
      </c>
      <c r="H113" s="92">
        <f t="shared" ca="1" si="15"/>
        <v>0</v>
      </c>
      <c r="I113" s="92">
        <f t="shared" ca="1" si="15"/>
        <v>0</v>
      </c>
      <c r="J113" s="45" t="str">
        <f t="shared" ca="1" si="15"/>
        <v/>
      </c>
      <c r="K113" s="45" t="str">
        <f t="shared" ca="1" si="15"/>
        <v/>
      </c>
      <c r="L113" s="45" t="str">
        <f t="shared" ca="1" si="15"/>
        <v/>
      </c>
      <c r="M113" s="45" t="str">
        <f t="shared" ca="1" si="15"/>
        <v/>
      </c>
      <c r="N113" s="45" t="str">
        <f t="shared" ca="1" si="15"/>
        <v/>
      </c>
      <c r="O113" s="45" t="str">
        <f t="shared" ca="1" si="15"/>
        <v/>
      </c>
      <c r="P113" s="92">
        <f t="shared" ca="1" si="15"/>
        <v>0</v>
      </c>
      <c r="Q113" s="92" t="str">
        <f t="shared" ca="1" si="14"/>
        <v/>
      </c>
      <c r="R113" s="92">
        <f t="shared" ca="1" si="14"/>
        <v>0</v>
      </c>
      <c r="S113" s="92" t="str">
        <f t="shared" ca="1" si="14"/>
        <v/>
      </c>
      <c r="T113" s="92" t="str">
        <f t="shared" ca="1" si="14"/>
        <v/>
      </c>
    </row>
    <row r="114" spans="1:20" s="54" customFormat="1" ht="13.5" customHeight="1">
      <c r="A114" s="45" t="str">
        <f t="shared" ca="1" si="15"/>
        <v/>
      </c>
      <c r="B114" s="45" t="str">
        <f t="shared" ca="1" si="15"/>
        <v/>
      </c>
      <c r="C114" s="45" t="str">
        <f t="shared" ca="1" si="15"/>
        <v/>
      </c>
      <c r="D114" s="92" t="str">
        <f t="shared" ca="1" si="15"/>
        <v/>
      </c>
      <c r="E114" s="92" t="str">
        <f t="shared" ca="1" si="15"/>
        <v/>
      </c>
      <c r="F114" s="92" t="str">
        <f t="shared" ca="1" si="15"/>
        <v/>
      </c>
      <c r="G114" s="92">
        <f t="shared" ca="1" si="15"/>
        <v>0</v>
      </c>
      <c r="H114" s="92">
        <f t="shared" ca="1" si="15"/>
        <v>0</v>
      </c>
      <c r="I114" s="92">
        <f t="shared" ca="1" si="15"/>
        <v>0</v>
      </c>
      <c r="J114" s="45" t="str">
        <f t="shared" ca="1" si="15"/>
        <v/>
      </c>
      <c r="K114" s="45" t="str">
        <f t="shared" ca="1" si="15"/>
        <v/>
      </c>
      <c r="L114" s="45" t="str">
        <f t="shared" ca="1" si="15"/>
        <v/>
      </c>
      <c r="M114" s="45" t="str">
        <f t="shared" ca="1" si="15"/>
        <v/>
      </c>
      <c r="N114" s="45" t="str">
        <f t="shared" ca="1" si="15"/>
        <v/>
      </c>
      <c r="O114" s="45" t="str">
        <f t="shared" ca="1" si="15"/>
        <v/>
      </c>
      <c r="P114" s="92">
        <f t="shared" ca="1" si="15"/>
        <v>0</v>
      </c>
      <c r="Q114" s="92" t="str">
        <f t="shared" ca="1" si="14"/>
        <v/>
      </c>
      <c r="R114" s="92">
        <f t="shared" ca="1" si="14"/>
        <v>0</v>
      </c>
      <c r="S114" s="92" t="str">
        <f t="shared" ca="1" si="14"/>
        <v/>
      </c>
      <c r="T114" s="92" t="str">
        <f t="shared" ca="1" si="14"/>
        <v/>
      </c>
    </row>
    <row r="115" spans="1:20" s="54" customFormat="1" ht="13.5" customHeight="1">
      <c r="A115" s="45" t="str">
        <f t="shared" ca="1" si="15"/>
        <v/>
      </c>
      <c r="B115" s="45" t="str">
        <f t="shared" ca="1" si="15"/>
        <v/>
      </c>
      <c r="C115" s="45" t="str">
        <f t="shared" ca="1" si="15"/>
        <v/>
      </c>
      <c r="D115" s="92" t="str">
        <f t="shared" ca="1" si="15"/>
        <v/>
      </c>
      <c r="E115" s="92" t="str">
        <f t="shared" ca="1" si="15"/>
        <v/>
      </c>
      <c r="F115" s="92" t="str">
        <f t="shared" ca="1" si="15"/>
        <v/>
      </c>
      <c r="G115" s="92">
        <f t="shared" ca="1" si="15"/>
        <v>0</v>
      </c>
      <c r="H115" s="92">
        <f t="shared" ca="1" si="15"/>
        <v>0</v>
      </c>
      <c r="I115" s="92">
        <f t="shared" ca="1" si="15"/>
        <v>0</v>
      </c>
      <c r="J115" s="45" t="str">
        <f t="shared" ca="1" si="15"/>
        <v/>
      </c>
      <c r="K115" s="45" t="str">
        <f t="shared" ca="1" si="15"/>
        <v/>
      </c>
      <c r="L115" s="45" t="str">
        <f t="shared" ca="1" si="15"/>
        <v/>
      </c>
      <c r="M115" s="45" t="str">
        <f t="shared" ca="1" si="15"/>
        <v/>
      </c>
      <c r="N115" s="45" t="str">
        <f t="shared" ca="1" si="15"/>
        <v/>
      </c>
      <c r="O115" s="45" t="str">
        <f t="shared" ca="1" si="15"/>
        <v/>
      </c>
      <c r="P115" s="92">
        <f t="shared" ca="1" si="15"/>
        <v>0</v>
      </c>
      <c r="Q115" s="92" t="str">
        <f t="shared" ca="1" si="14"/>
        <v/>
      </c>
      <c r="R115" s="92">
        <f t="shared" ca="1" si="14"/>
        <v>0</v>
      </c>
      <c r="S115" s="92" t="str">
        <f t="shared" ca="1" si="14"/>
        <v/>
      </c>
      <c r="T115" s="92" t="str">
        <f t="shared" ca="1" si="14"/>
        <v/>
      </c>
    </row>
    <row r="116" spans="1:20" s="54" customFormat="1" ht="13.5" customHeight="1">
      <c r="A116" s="45" t="str">
        <f t="shared" ca="1" si="15"/>
        <v/>
      </c>
      <c r="B116" s="45" t="str">
        <f t="shared" ca="1" si="15"/>
        <v/>
      </c>
      <c r="C116" s="45" t="str">
        <f t="shared" ca="1" si="15"/>
        <v/>
      </c>
      <c r="D116" s="92" t="str">
        <f t="shared" ca="1" si="15"/>
        <v/>
      </c>
      <c r="E116" s="92" t="str">
        <f t="shared" ca="1" si="15"/>
        <v/>
      </c>
      <c r="F116" s="92" t="str">
        <f t="shared" ca="1" si="15"/>
        <v/>
      </c>
      <c r="G116" s="92">
        <f t="shared" ca="1" si="15"/>
        <v>0</v>
      </c>
      <c r="H116" s="92">
        <f t="shared" ca="1" si="15"/>
        <v>0</v>
      </c>
      <c r="I116" s="92">
        <f t="shared" ca="1" si="15"/>
        <v>0</v>
      </c>
      <c r="J116" s="45" t="str">
        <f t="shared" ca="1" si="15"/>
        <v/>
      </c>
      <c r="K116" s="45" t="str">
        <f t="shared" ca="1" si="15"/>
        <v/>
      </c>
      <c r="L116" s="45" t="str">
        <f t="shared" ca="1" si="15"/>
        <v/>
      </c>
      <c r="M116" s="45" t="str">
        <f t="shared" ca="1" si="15"/>
        <v/>
      </c>
      <c r="N116" s="45" t="str">
        <f t="shared" ca="1" si="15"/>
        <v/>
      </c>
      <c r="O116" s="45" t="str">
        <f t="shared" ca="1" si="15"/>
        <v/>
      </c>
      <c r="P116" s="92">
        <f t="shared" ca="1" si="15"/>
        <v>0</v>
      </c>
      <c r="Q116" s="92" t="str">
        <f t="shared" ca="1" si="14"/>
        <v/>
      </c>
      <c r="R116" s="92">
        <f t="shared" ca="1" si="14"/>
        <v>0</v>
      </c>
      <c r="S116" s="92" t="str">
        <f t="shared" ca="1" si="14"/>
        <v/>
      </c>
      <c r="T116" s="92" t="str">
        <f t="shared" ca="1" si="14"/>
        <v/>
      </c>
    </row>
    <row r="117" spans="1:20" s="54" customFormat="1" ht="13.5" customHeight="1">
      <c r="A117" s="45" t="str">
        <f t="shared" ca="1" si="15"/>
        <v/>
      </c>
      <c r="B117" s="45" t="str">
        <f t="shared" ca="1" si="15"/>
        <v/>
      </c>
      <c r="C117" s="45" t="str">
        <f t="shared" ca="1" si="15"/>
        <v/>
      </c>
      <c r="D117" s="92" t="str">
        <f t="shared" ca="1" si="15"/>
        <v/>
      </c>
      <c r="E117" s="92" t="str">
        <f t="shared" ca="1" si="15"/>
        <v/>
      </c>
      <c r="F117" s="92" t="str">
        <f t="shared" ca="1" si="15"/>
        <v/>
      </c>
      <c r="G117" s="92">
        <f t="shared" ca="1" si="15"/>
        <v>0</v>
      </c>
      <c r="H117" s="92">
        <f t="shared" ca="1" si="15"/>
        <v>0</v>
      </c>
      <c r="I117" s="92">
        <f t="shared" ca="1" si="15"/>
        <v>0</v>
      </c>
      <c r="J117" s="45" t="str">
        <f t="shared" ca="1" si="15"/>
        <v/>
      </c>
      <c r="K117" s="45" t="str">
        <f t="shared" ca="1" si="15"/>
        <v/>
      </c>
      <c r="L117" s="45" t="str">
        <f t="shared" ca="1" si="15"/>
        <v/>
      </c>
      <c r="M117" s="45" t="str">
        <f t="shared" ca="1" si="15"/>
        <v/>
      </c>
      <c r="N117" s="45" t="str">
        <f t="shared" ca="1" si="15"/>
        <v/>
      </c>
      <c r="O117" s="45" t="str">
        <f t="shared" ca="1" si="15"/>
        <v/>
      </c>
      <c r="P117" s="92">
        <f t="shared" ca="1" si="15"/>
        <v>0</v>
      </c>
      <c r="Q117" s="92" t="str">
        <f t="shared" ca="1" si="14"/>
        <v/>
      </c>
      <c r="R117" s="92">
        <f t="shared" ca="1" si="14"/>
        <v>0</v>
      </c>
      <c r="S117" s="92" t="str">
        <f t="shared" ca="1" si="14"/>
        <v/>
      </c>
      <c r="T117" s="92" t="str">
        <f t="shared" ca="1" si="14"/>
        <v/>
      </c>
    </row>
    <row r="118" spans="1:20" s="54" customFormat="1" ht="13.5" customHeight="1">
      <c r="A118" s="45" t="str">
        <f t="shared" ca="1" si="15"/>
        <v/>
      </c>
      <c r="B118" s="45" t="str">
        <f t="shared" ca="1" si="15"/>
        <v/>
      </c>
      <c r="C118" s="45" t="str">
        <f t="shared" ca="1" si="15"/>
        <v/>
      </c>
      <c r="D118" s="92" t="str">
        <f t="shared" ca="1" si="15"/>
        <v/>
      </c>
      <c r="E118" s="92" t="str">
        <f t="shared" ca="1" si="15"/>
        <v/>
      </c>
      <c r="F118" s="92" t="str">
        <f t="shared" ca="1" si="15"/>
        <v/>
      </c>
      <c r="G118" s="92">
        <f t="shared" ca="1" si="15"/>
        <v>0</v>
      </c>
      <c r="H118" s="92">
        <f t="shared" ca="1" si="15"/>
        <v>0</v>
      </c>
      <c r="I118" s="92">
        <f t="shared" ca="1" si="15"/>
        <v>0</v>
      </c>
      <c r="J118" s="45" t="str">
        <f t="shared" ca="1" si="15"/>
        <v/>
      </c>
      <c r="K118" s="45" t="str">
        <f t="shared" ca="1" si="15"/>
        <v/>
      </c>
      <c r="L118" s="45" t="str">
        <f t="shared" ca="1" si="15"/>
        <v/>
      </c>
      <c r="M118" s="45" t="str">
        <f t="shared" ca="1" si="15"/>
        <v/>
      </c>
      <c r="N118" s="45" t="str">
        <f t="shared" ca="1" si="15"/>
        <v/>
      </c>
      <c r="O118" s="45" t="str">
        <f t="shared" ca="1" si="15"/>
        <v/>
      </c>
      <c r="P118" s="92">
        <f t="shared" ca="1" si="15"/>
        <v>0</v>
      </c>
      <c r="Q118" s="92" t="str">
        <f t="shared" ca="1" si="14"/>
        <v/>
      </c>
      <c r="R118" s="92">
        <f t="shared" ca="1" si="14"/>
        <v>0</v>
      </c>
      <c r="S118" s="92" t="str">
        <f t="shared" ca="1" si="14"/>
        <v/>
      </c>
      <c r="T118" s="92" t="str">
        <f t="shared" ca="1" si="14"/>
        <v/>
      </c>
    </row>
    <row r="119" spans="1:20" s="54" customFormat="1" ht="13.5" customHeight="1">
      <c r="A119" s="45" t="str">
        <f t="shared" ca="1" si="15"/>
        <v/>
      </c>
      <c r="B119" s="45" t="str">
        <f t="shared" ca="1" si="15"/>
        <v/>
      </c>
      <c r="C119" s="45" t="str">
        <f t="shared" ca="1" si="15"/>
        <v/>
      </c>
      <c r="D119" s="92" t="str">
        <f t="shared" ca="1" si="15"/>
        <v/>
      </c>
      <c r="E119" s="92" t="str">
        <f t="shared" ca="1" si="15"/>
        <v/>
      </c>
      <c r="F119" s="92" t="str">
        <f t="shared" ca="1" si="15"/>
        <v/>
      </c>
      <c r="G119" s="92">
        <f t="shared" ca="1" si="15"/>
        <v>0</v>
      </c>
      <c r="H119" s="92">
        <f t="shared" ca="1" si="15"/>
        <v>0</v>
      </c>
      <c r="I119" s="92">
        <f t="shared" ca="1" si="15"/>
        <v>0</v>
      </c>
      <c r="J119" s="45" t="str">
        <f t="shared" ca="1" si="15"/>
        <v/>
      </c>
      <c r="K119" s="45" t="str">
        <f t="shared" ca="1" si="15"/>
        <v/>
      </c>
      <c r="L119" s="45" t="str">
        <f t="shared" ca="1" si="15"/>
        <v/>
      </c>
      <c r="M119" s="45" t="str">
        <f t="shared" ca="1" si="15"/>
        <v/>
      </c>
      <c r="N119" s="45" t="str">
        <f t="shared" ca="1" si="15"/>
        <v/>
      </c>
      <c r="O119" s="45" t="str">
        <f t="shared" ca="1" si="15"/>
        <v/>
      </c>
      <c r="P119" s="92">
        <f t="shared" ca="1" si="15"/>
        <v>0</v>
      </c>
      <c r="Q119" s="92" t="str">
        <f t="shared" ca="1" si="14"/>
        <v/>
      </c>
      <c r="R119" s="92">
        <f t="shared" ca="1" si="14"/>
        <v>0</v>
      </c>
      <c r="S119" s="92" t="str">
        <f t="shared" ca="1" si="14"/>
        <v/>
      </c>
      <c r="T119" s="92" t="str">
        <f t="shared" ca="1" si="14"/>
        <v/>
      </c>
    </row>
    <row r="120" spans="1:20" s="54" customFormat="1" ht="13.5" customHeight="1">
      <c r="A120" s="45" t="str">
        <f t="shared" ca="1" si="15"/>
        <v/>
      </c>
      <c r="B120" s="45" t="str">
        <f t="shared" ca="1" si="15"/>
        <v/>
      </c>
      <c r="C120" s="45" t="str">
        <f t="shared" ca="1" si="15"/>
        <v/>
      </c>
      <c r="D120" s="92" t="str">
        <f t="shared" ca="1" si="15"/>
        <v/>
      </c>
      <c r="E120" s="92" t="str">
        <f t="shared" ca="1" si="15"/>
        <v/>
      </c>
      <c r="F120" s="92" t="str">
        <f t="shared" ca="1" si="15"/>
        <v/>
      </c>
      <c r="G120" s="92">
        <f t="shared" ca="1" si="15"/>
        <v>0</v>
      </c>
      <c r="H120" s="92">
        <f t="shared" ca="1" si="15"/>
        <v>0</v>
      </c>
      <c r="I120" s="92">
        <f t="shared" ca="1" si="15"/>
        <v>0</v>
      </c>
      <c r="J120" s="45" t="str">
        <f t="shared" ca="1" si="15"/>
        <v/>
      </c>
      <c r="K120" s="45" t="str">
        <f t="shared" ca="1" si="15"/>
        <v/>
      </c>
      <c r="L120" s="45" t="str">
        <f t="shared" ca="1" si="15"/>
        <v/>
      </c>
      <c r="M120" s="45" t="str">
        <f t="shared" ca="1" si="15"/>
        <v/>
      </c>
      <c r="N120" s="45" t="str">
        <f t="shared" ca="1" si="15"/>
        <v/>
      </c>
      <c r="O120" s="45" t="str">
        <f t="shared" ca="1" si="15"/>
        <v/>
      </c>
      <c r="P120" s="92">
        <f t="shared" ca="1" si="15"/>
        <v>0</v>
      </c>
      <c r="Q120" s="92" t="str">
        <f t="shared" ca="1" si="14"/>
        <v/>
      </c>
      <c r="R120" s="92">
        <f t="shared" ca="1" si="14"/>
        <v>0</v>
      </c>
      <c r="S120" s="92" t="str">
        <f t="shared" ca="1" si="14"/>
        <v/>
      </c>
      <c r="T120" s="92" t="str">
        <f t="shared" ca="1" si="14"/>
        <v/>
      </c>
    </row>
    <row r="121" spans="1:20" s="54" customFormat="1" ht="13.5" customHeight="1">
      <c r="A121" s="45" t="str">
        <f t="shared" ca="1" si="15"/>
        <v/>
      </c>
      <c r="B121" s="45" t="str">
        <f t="shared" ca="1" si="15"/>
        <v/>
      </c>
      <c r="C121" s="45" t="str">
        <f t="shared" ca="1" si="15"/>
        <v/>
      </c>
      <c r="D121" s="92" t="str">
        <f t="shared" ca="1" si="15"/>
        <v/>
      </c>
      <c r="E121" s="92" t="str">
        <f t="shared" ca="1" si="15"/>
        <v/>
      </c>
      <c r="F121" s="92" t="str">
        <f t="shared" ca="1" si="15"/>
        <v/>
      </c>
      <c r="G121" s="92">
        <f t="shared" ca="1" si="15"/>
        <v>0</v>
      </c>
      <c r="H121" s="92">
        <f t="shared" ca="1" si="15"/>
        <v>0</v>
      </c>
      <c r="I121" s="92">
        <f t="shared" ca="1" si="15"/>
        <v>0</v>
      </c>
      <c r="J121" s="45" t="str">
        <f t="shared" ca="1" si="15"/>
        <v/>
      </c>
      <c r="K121" s="45" t="str">
        <f t="shared" ca="1" si="15"/>
        <v/>
      </c>
      <c r="L121" s="45" t="str">
        <f t="shared" ca="1" si="15"/>
        <v/>
      </c>
      <c r="M121" s="45" t="str">
        <f t="shared" ca="1" si="15"/>
        <v/>
      </c>
      <c r="N121" s="45" t="str">
        <f t="shared" ca="1" si="15"/>
        <v/>
      </c>
      <c r="O121" s="45" t="str">
        <f t="shared" ca="1" si="15"/>
        <v/>
      </c>
      <c r="P121" s="92">
        <f t="shared" ca="1" si="15"/>
        <v>0</v>
      </c>
      <c r="Q121" s="92" t="str">
        <f t="shared" ca="1" si="14"/>
        <v/>
      </c>
      <c r="R121" s="92">
        <f t="shared" ca="1" si="14"/>
        <v>0</v>
      </c>
      <c r="S121" s="92" t="str">
        <f t="shared" ca="1" si="14"/>
        <v/>
      </c>
      <c r="T121" s="92" t="str">
        <f t="shared" ca="1" si="14"/>
        <v/>
      </c>
    </row>
    <row r="122" spans="1:20" s="54" customFormat="1" ht="13.5" customHeight="1">
      <c r="A122" s="45" t="str">
        <f t="shared" ca="1" si="15"/>
        <v/>
      </c>
      <c r="B122" s="45" t="str">
        <f t="shared" ca="1" si="15"/>
        <v/>
      </c>
      <c r="C122" s="45" t="str">
        <f t="shared" ca="1" si="15"/>
        <v/>
      </c>
      <c r="D122" s="92" t="str">
        <f t="shared" ca="1" si="15"/>
        <v/>
      </c>
      <c r="E122" s="92" t="str">
        <f t="shared" ca="1" si="15"/>
        <v/>
      </c>
      <c r="F122" s="92" t="str">
        <f t="shared" ca="1" si="15"/>
        <v/>
      </c>
      <c r="G122" s="92">
        <f t="shared" ca="1" si="15"/>
        <v>0</v>
      </c>
      <c r="H122" s="92">
        <f t="shared" ca="1" si="15"/>
        <v>0</v>
      </c>
      <c r="I122" s="92">
        <f t="shared" ca="1" si="15"/>
        <v>0</v>
      </c>
      <c r="J122" s="45" t="str">
        <f t="shared" ca="1" si="15"/>
        <v/>
      </c>
      <c r="K122" s="45" t="str">
        <f t="shared" ca="1" si="15"/>
        <v/>
      </c>
      <c r="L122" s="45" t="str">
        <f t="shared" ca="1" si="15"/>
        <v/>
      </c>
      <c r="M122" s="45" t="str">
        <f t="shared" ca="1" si="15"/>
        <v/>
      </c>
      <c r="N122" s="45" t="str">
        <f t="shared" ca="1" si="15"/>
        <v/>
      </c>
      <c r="O122" s="45" t="str">
        <f t="shared" ca="1" si="15"/>
        <v/>
      </c>
      <c r="P122" s="92">
        <f t="shared" ca="1" si="15"/>
        <v>0</v>
      </c>
      <c r="Q122" s="92" t="str">
        <f t="shared" ca="1" si="14"/>
        <v/>
      </c>
      <c r="R122" s="92">
        <f t="shared" ca="1" si="14"/>
        <v>0</v>
      </c>
      <c r="S122" s="92" t="str">
        <f t="shared" ca="1" si="14"/>
        <v/>
      </c>
      <c r="T122" s="92" t="str">
        <f t="shared" ca="1" si="14"/>
        <v/>
      </c>
    </row>
    <row r="123" spans="1:20" s="54" customFormat="1" ht="13.5" customHeight="1">
      <c r="A123" s="45" t="str">
        <f t="shared" ca="1" si="15"/>
        <v/>
      </c>
      <c r="B123" s="45" t="str">
        <f t="shared" ca="1" si="15"/>
        <v/>
      </c>
      <c r="C123" s="45" t="str">
        <f t="shared" ca="1" si="15"/>
        <v/>
      </c>
      <c r="D123" s="92" t="str">
        <f t="shared" ca="1" si="15"/>
        <v/>
      </c>
      <c r="E123" s="92" t="str">
        <f t="shared" ca="1" si="15"/>
        <v/>
      </c>
      <c r="F123" s="92" t="str">
        <f t="shared" ca="1" si="15"/>
        <v/>
      </c>
      <c r="G123" s="92">
        <f t="shared" ca="1" si="15"/>
        <v>0</v>
      </c>
      <c r="H123" s="92">
        <f t="shared" ca="1" si="15"/>
        <v>0</v>
      </c>
      <c r="I123" s="92">
        <f t="shared" ca="1" si="15"/>
        <v>0</v>
      </c>
      <c r="J123" s="45" t="str">
        <f t="shared" ca="1" si="15"/>
        <v/>
      </c>
      <c r="K123" s="45" t="str">
        <f t="shared" ca="1" si="15"/>
        <v/>
      </c>
      <c r="L123" s="45" t="str">
        <f t="shared" ca="1" si="15"/>
        <v/>
      </c>
      <c r="M123" s="45" t="str">
        <f t="shared" ca="1" si="15"/>
        <v/>
      </c>
      <c r="N123" s="45" t="str">
        <f t="shared" ca="1" si="15"/>
        <v/>
      </c>
      <c r="O123" s="45" t="str">
        <f t="shared" ca="1" si="15"/>
        <v/>
      </c>
      <c r="P123" s="92">
        <f t="shared" ca="1" si="15"/>
        <v>0</v>
      </c>
      <c r="Q123" s="92" t="str">
        <f t="shared" ca="1" si="14"/>
        <v/>
      </c>
      <c r="R123" s="92">
        <f t="shared" ca="1" si="14"/>
        <v>0</v>
      </c>
      <c r="S123" s="92" t="str">
        <f t="shared" ca="1" si="14"/>
        <v/>
      </c>
      <c r="T123" s="92" t="str">
        <f t="shared" ca="1" si="14"/>
        <v/>
      </c>
    </row>
    <row r="124" spans="1:20" s="54" customFormat="1" ht="13.5" customHeight="1">
      <c r="A124" s="45" t="str">
        <f t="shared" ca="1" si="15"/>
        <v/>
      </c>
      <c r="B124" s="45" t="str">
        <f t="shared" ca="1" si="15"/>
        <v/>
      </c>
      <c r="C124" s="45" t="str">
        <f t="shared" ca="1" si="15"/>
        <v/>
      </c>
      <c r="D124" s="92" t="str">
        <f t="shared" ca="1" si="15"/>
        <v/>
      </c>
      <c r="E124" s="92" t="str">
        <f t="shared" ca="1" si="15"/>
        <v/>
      </c>
      <c r="F124" s="92" t="str">
        <f t="shared" ca="1" si="15"/>
        <v/>
      </c>
      <c r="G124" s="92">
        <f t="shared" ca="1" si="15"/>
        <v>0</v>
      </c>
      <c r="H124" s="92">
        <f t="shared" ca="1" si="15"/>
        <v>0</v>
      </c>
      <c r="I124" s="92">
        <f t="shared" ca="1" si="15"/>
        <v>0</v>
      </c>
      <c r="J124" s="45" t="str">
        <f t="shared" ca="1" si="15"/>
        <v/>
      </c>
      <c r="K124" s="45" t="str">
        <f t="shared" ca="1" si="15"/>
        <v/>
      </c>
      <c r="L124" s="45" t="str">
        <f t="shared" ca="1" si="15"/>
        <v/>
      </c>
      <c r="M124" s="45" t="str">
        <f t="shared" ca="1" si="15"/>
        <v/>
      </c>
      <c r="N124" s="45" t="str">
        <f t="shared" ca="1" si="15"/>
        <v/>
      </c>
      <c r="O124" s="45" t="str">
        <f t="shared" ca="1" si="15"/>
        <v/>
      </c>
      <c r="P124" s="92">
        <f t="shared" ref="P124:T139" ca="1" si="16">IF(INDIRECT("제작의뢰서!"&amp;ADDRESS(ROW(),COLUMN()))="","",INDIRECT("제작의뢰서!"&amp;ADDRESS(ROW(),COLUMN())))</f>
        <v>0</v>
      </c>
      <c r="Q124" s="92" t="str">
        <f t="shared" ca="1" si="16"/>
        <v/>
      </c>
      <c r="R124" s="92">
        <f t="shared" ca="1" si="16"/>
        <v>0</v>
      </c>
      <c r="S124" s="92" t="str">
        <f t="shared" ca="1" si="16"/>
        <v/>
      </c>
      <c r="T124" s="92" t="str">
        <f t="shared" ca="1" si="16"/>
        <v/>
      </c>
    </row>
    <row r="125" spans="1:20" s="54" customFormat="1" ht="13.5" customHeight="1">
      <c r="A125" s="45" t="str">
        <f t="shared" ref="A125:P140" ca="1" si="17">IF(INDIRECT("제작의뢰서!"&amp;ADDRESS(ROW(),COLUMN()))="","",INDIRECT("제작의뢰서!"&amp;ADDRESS(ROW(),COLUMN())))</f>
        <v/>
      </c>
      <c r="B125" s="45" t="str">
        <f t="shared" ca="1" si="17"/>
        <v/>
      </c>
      <c r="C125" s="45" t="str">
        <f t="shared" ca="1" si="17"/>
        <v/>
      </c>
      <c r="D125" s="92" t="str">
        <f t="shared" ca="1" si="17"/>
        <v/>
      </c>
      <c r="E125" s="92" t="str">
        <f t="shared" ca="1" si="17"/>
        <v/>
      </c>
      <c r="F125" s="92" t="str">
        <f t="shared" ca="1" si="17"/>
        <v/>
      </c>
      <c r="G125" s="92">
        <f t="shared" ca="1" si="17"/>
        <v>0</v>
      </c>
      <c r="H125" s="92">
        <f t="shared" ca="1" si="17"/>
        <v>0</v>
      </c>
      <c r="I125" s="92">
        <f t="shared" ca="1" si="17"/>
        <v>0</v>
      </c>
      <c r="J125" s="45" t="str">
        <f t="shared" ca="1" si="17"/>
        <v/>
      </c>
      <c r="K125" s="45" t="str">
        <f t="shared" ca="1" si="17"/>
        <v/>
      </c>
      <c r="L125" s="45" t="str">
        <f t="shared" ca="1" si="17"/>
        <v/>
      </c>
      <c r="M125" s="45" t="str">
        <f t="shared" ca="1" si="17"/>
        <v/>
      </c>
      <c r="N125" s="45" t="str">
        <f t="shared" ca="1" si="17"/>
        <v/>
      </c>
      <c r="O125" s="45" t="str">
        <f t="shared" ca="1" si="17"/>
        <v/>
      </c>
      <c r="P125" s="92">
        <f t="shared" ca="1" si="17"/>
        <v>0</v>
      </c>
      <c r="Q125" s="92" t="str">
        <f t="shared" ca="1" si="16"/>
        <v/>
      </c>
      <c r="R125" s="92">
        <f t="shared" ca="1" si="16"/>
        <v>0</v>
      </c>
      <c r="S125" s="92" t="str">
        <f t="shared" ca="1" si="16"/>
        <v/>
      </c>
      <c r="T125" s="92" t="str">
        <f t="shared" ca="1" si="16"/>
        <v/>
      </c>
    </row>
    <row r="126" spans="1:20" s="54" customFormat="1" ht="13.5" customHeight="1">
      <c r="A126" s="45" t="str">
        <f t="shared" ca="1" si="17"/>
        <v/>
      </c>
      <c r="B126" s="45" t="str">
        <f t="shared" ca="1" si="17"/>
        <v/>
      </c>
      <c r="C126" s="45" t="str">
        <f t="shared" ca="1" si="17"/>
        <v/>
      </c>
      <c r="D126" s="92" t="str">
        <f t="shared" ca="1" si="17"/>
        <v/>
      </c>
      <c r="E126" s="92" t="str">
        <f t="shared" ca="1" si="17"/>
        <v/>
      </c>
      <c r="F126" s="92" t="str">
        <f t="shared" ca="1" si="17"/>
        <v/>
      </c>
      <c r="G126" s="92">
        <f t="shared" ca="1" si="17"/>
        <v>0</v>
      </c>
      <c r="H126" s="92">
        <f t="shared" ca="1" si="17"/>
        <v>0</v>
      </c>
      <c r="I126" s="92">
        <f t="shared" ca="1" si="17"/>
        <v>0</v>
      </c>
      <c r="J126" s="45" t="str">
        <f t="shared" ca="1" si="17"/>
        <v/>
      </c>
      <c r="K126" s="45" t="str">
        <f t="shared" ca="1" si="17"/>
        <v/>
      </c>
      <c r="L126" s="45" t="str">
        <f t="shared" ca="1" si="17"/>
        <v/>
      </c>
      <c r="M126" s="45" t="str">
        <f t="shared" ca="1" si="17"/>
        <v/>
      </c>
      <c r="N126" s="45" t="str">
        <f t="shared" ca="1" si="17"/>
        <v/>
      </c>
      <c r="O126" s="45" t="str">
        <f t="shared" ca="1" si="17"/>
        <v/>
      </c>
      <c r="P126" s="92">
        <f t="shared" ca="1" si="17"/>
        <v>0</v>
      </c>
      <c r="Q126" s="92" t="str">
        <f t="shared" ca="1" si="16"/>
        <v/>
      </c>
      <c r="R126" s="92">
        <f t="shared" ca="1" si="16"/>
        <v>0</v>
      </c>
      <c r="S126" s="92" t="str">
        <f t="shared" ca="1" si="16"/>
        <v/>
      </c>
      <c r="T126" s="92" t="str">
        <f t="shared" ca="1" si="16"/>
        <v/>
      </c>
    </row>
    <row r="127" spans="1:20" s="54" customFormat="1" ht="13.5" customHeight="1">
      <c r="A127" s="45" t="str">
        <f t="shared" ca="1" si="17"/>
        <v/>
      </c>
      <c r="B127" s="45" t="str">
        <f t="shared" ca="1" si="17"/>
        <v/>
      </c>
      <c r="C127" s="45" t="str">
        <f t="shared" ca="1" si="17"/>
        <v/>
      </c>
      <c r="D127" s="92" t="str">
        <f t="shared" ca="1" si="17"/>
        <v/>
      </c>
      <c r="E127" s="92" t="str">
        <f t="shared" ca="1" si="17"/>
        <v/>
      </c>
      <c r="F127" s="92" t="str">
        <f t="shared" ca="1" si="17"/>
        <v/>
      </c>
      <c r="G127" s="92">
        <f t="shared" ca="1" si="17"/>
        <v>0</v>
      </c>
      <c r="H127" s="92">
        <f t="shared" ca="1" si="17"/>
        <v>0</v>
      </c>
      <c r="I127" s="92">
        <f t="shared" ca="1" si="17"/>
        <v>0</v>
      </c>
      <c r="J127" s="45" t="str">
        <f t="shared" ca="1" si="17"/>
        <v/>
      </c>
      <c r="K127" s="45" t="str">
        <f t="shared" ca="1" si="17"/>
        <v/>
      </c>
      <c r="L127" s="45" t="str">
        <f t="shared" ca="1" si="17"/>
        <v/>
      </c>
      <c r="M127" s="45" t="str">
        <f t="shared" ca="1" si="17"/>
        <v/>
      </c>
      <c r="N127" s="45" t="str">
        <f t="shared" ca="1" si="17"/>
        <v/>
      </c>
      <c r="O127" s="45" t="str">
        <f t="shared" ca="1" si="17"/>
        <v/>
      </c>
      <c r="P127" s="92">
        <f t="shared" ca="1" si="17"/>
        <v>0</v>
      </c>
      <c r="Q127" s="92" t="str">
        <f t="shared" ca="1" si="16"/>
        <v/>
      </c>
      <c r="R127" s="92">
        <f t="shared" ca="1" si="16"/>
        <v>0</v>
      </c>
      <c r="S127" s="92" t="str">
        <f t="shared" ca="1" si="16"/>
        <v/>
      </c>
      <c r="T127" s="92" t="str">
        <f t="shared" ca="1" si="16"/>
        <v/>
      </c>
    </row>
    <row r="128" spans="1:20" s="54" customFormat="1" ht="13.5" customHeight="1">
      <c r="A128" s="45" t="str">
        <f t="shared" ca="1" si="17"/>
        <v/>
      </c>
      <c r="B128" s="45" t="str">
        <f t="shared" ca="1" si="17"/>
        <v/>
      </c>
      <c r="C128" s="45" t="str">
        <f t="shared" ca="1" si="17"/>
        <v/>
      </c>
      <c r="D128" s="92" t="str">
        <f t="shared" ca="1" si="17"/>
        <v/>
      </c>
      <c r="E128" s="92" t="str">
        <f t="shared" ca="1" si="17"/>
        <v/>
      </c>
      <c r="F128" s="92" t="str">
        <f t="shared" ca="1" si="17"/>
        <v/>
      </c>
      <c r="G128" s="92">
        <f t="shared" ca="1" si="17"/>
        <v>0</v>
      </c>
      <c r="H128" s="92">
        <f t="shared" ca="1" si="17"/>
        <v>0</v>
      </c>
      <c r="I128" s="92">
        <f t="shared" ca="1" si="17"/>
        <v>0</v>
      </c>
      <c r="J128" s="45" t="str">
        <f t="shared" ca="1" si="17"/>
        <v/>
      </c>
      <c r="K128" s="45" t="str">
        <f t="shared" ca="1" si="17"/>
        <v/>
      </c>
      <c r="L128" s="45" t="str">
        <f t="shared" ca="1" si="17"/>
        <v/>
      </c>
      <c r="M128" s="45" t="str">
        <f t="shared" ca="1" si="17"/>
        <v/>
      </c>
      <c r="N128" s="45" t="str">
        <f t="shared" ca="1" si="17"/>
        <v/>
      </c>
      <c r="O128" s="45" t="str">
        <f t="shared" ca="1" si="17"/>
        <v/>
      </c>
      <c r="P128" s="92">
        <f t="shared" ca="1" si="17"/>
        <v>0</v>
      </c>
      <c r="Q128" s="92" t="str">
        <f t="shared" ca="1" si="16"/>
        <v/>
      </c>
      <c r="R128" s="92">
        <f t="shared" ca="1" si="16"/>
        <v>0</v>
      </c>
      <c r="S128" s="92" t="str">
        <f t="shared" ca="1" si="16"/>
        <v/>
      </c>
      <c r="T128" s="92" t="str">
        <f t="shared" ca="1" si="16"/>
        <v/>
      </c>
    </row>
    <row r="129" spans="1:20" s="54" customFormat="1" ht="13.5" customHeight="1">
      <c r="A129" s="45" t="str">
        <f t="shared" ca="1" si="17"/>
        <v/>
      </c>
      <c r="B129" s="45" t="str">
        <f t="shared" ca="1" si="17"/>
        <v/>
      </c>
      <c r="C129" s="45" t="str">
        <f t="shared" ca="1" si="17"/>
        <v/>
      </c>
      <c r="D129" s="92" t="str">
        <f t="shared" ca="1" si="17"/>
        <v/>
      </c>
      <c r="E129" s="92" t="str">
        <f t="shared" ca="1" si="17"/>
        <v/>
      </c>
      <c r="F129" s="92" t="str">
        <f t="shared" ca="1" si="17"/>
        <v/>
      </c>
      <c r="G129" s="92">
        <f t="shared" ca="1" si="17"/>
        <v>0</v>
      </c>
      <c r="H129" s="92">
        <f t="shared" ca="1" si="17"/>
        <v>0</v>
      </c>
      <c r="I129" s="92">
        <f t="shared" ca="1" si="17"/>
        <v>0</v>
      </c>
      <c r="J129" s="45" t="str">
        <f t="shared" ca="1" si="17"/>
        <v/>
      </c>
      <c r="K129" s="45" t="str">
        <f t="shared" ca="1" si="17"/>
        <v/>
      </c>
      <c r="L129" s="45" t="str">
        <f t="shared" ca="1" si="17"/>
        <v/>
      </c>
      <c r="M129" s="45" t="str">
        <f t="shared" ca="1" si="17"/>
        <v/>
      </c>
      <c r="N129" s="45" t="str">
        <f t="shared" ca="1" si="17"/>
        <v/>
      </c>
      <c r="O129" s="45" t="str">
        <f t="shared" ca="1" si="17"/>
        <v/>
      </c>
      <c r="P129" s="92">
        <f t="shared" ca="1" si="17"/>
        <v>0</v>
      </c>
      <c r="Q129" s="92" t="str">
        <f t="shared" ca="1" si="16"/>
        <v/>
      </c>
      <c r="R129" s="92">
        <f t="shared" ca="1" si="16"/>
        <v>0</v>
      </c>
      <c r="S129" s="92" t="str">
        <f t="shared" ca="1" si="16"/>
        <v/>
      </c>
      <c r="T129" s="92" t="str">
        <f t="shared" ca="1" si="16"/>
        <v/>
      </c>
    </row>
    <row r="130" spans="1:20" s="54" customFormat="1" ht="13.5" customHeight="1">
      <c r="A130" s="45" t="str">
        <f t="shared" ca="1" si="17"/>
        <v/>
      </c>
      <c r="B130" s="45" t="str">
        <f t="shared" ca="1" si="17"/>
        <v/>
      </c>
      <c r="C130" s="45" t="str">
        <f t="shared" ca="1" si="17"/>
        <v/>
      </c>
      <c r="D130" s="92" t="str">
        <f t="shared" ca="1" si="17"/>
        <v/>
      </c>
      <c r="E130" s="92" t="str">
        <f t="shared" ca="1" si="17"/>
        <v/>
      </c>
      <c r="F130" s="92" t="str">
        <f t="shared" ca="1" si="17"/>
        <v/>
      </c>
      <c r="G130" s="92">
        <f t="shared" ca="1" si="17"/>
        <v>0</v>
      </c>
      <c r="H130" s="92">
        <f t="shared" ca="1" si="17"/>
        <v>0</v>
      </c>
      <c r="I130" s="92">
        <f t="shared" ca="1" si="17"/>
        <v>0</v>
      </c>
      <c r="J130" s="45" t="str">
        <f t="shared" ca="1" si="17"/>
        <v/>
      </c>
      <c r="K130" s="45" t="str">
        <f t="shared" ca="1" si="17"/>
        <v/>
      </c>
      <c r="L130" s="45" t="str">
        <f t="shared" ca="1" si="17"/>
        <v/>
      </c>
      <c r="M130" s="45" t="str">
        <f t="shared" ca="1" si="17"/>
        <v/>
      </c>
      <c r="N130" s="45" t="str">
        <f t="shared" ca="1" si="17"/>
        <v/>
      </c>
      <c r="O130" s="45" t="str">
        <f t="shared" ca="1" si="17"/>
        <v/>
      </c>
      <c r="P130" s="92">
        <f t="shared" ca="1" si="17"/>
        <v>0</v>
      </c>
      <c r="Q130" s="92" t="str">
        <f t="shared" ca="1" si="16"/>
        <v/>
      </c>
      <c r="R130" s="92">
        <f t="shared" ca="1" si="16"/>
        <v>0</v>
      </c>
      <c r="S130" s="92" t="str">
        <f t="shared" ca="1" si="16"/>
        <v/>
      </c>
      <c r="T130" s="92" t="str">
        <f t="shared" ca="1" si="16"/>
        <v/>
      </c>
    </row>
    <row r="131" spans="1:20" s="54" customFormat="1" ht="13.5" customHeight="1">
      <c r="A131" s="45" t="str">
        <f t="shared" ca="1" si="17"/>
        <v/>
      </c>
      <c r="B131" s="45" t="str">
        <f t="shared" ca="1" si="17"/>
        <v/>
      </c>
      <c r="C131" s="45" t="str">
        <f t="shared" ca="1" si="17"/>
        <v/>
      </c>
      <c r="D131" s="92" t="str">
        <f t="shared" ca="1" si="17"/>
        <v/>
      </c>
      <c r="E131" s="92" t="str">
        <f t="shared" ca="1" si="17"/>
        <v/>
      </c>
      <c r="F131" s="92" t="str">
        <f t="shared" ca="1" si="17"/>
        <v/>
      </c>
      <c r="G131" s="92">
        <f t="shared" ca="1" si="17"/>
        <v>0</v>
      </c>
      <c r="H131" s="92">
        <f t="shared" ca="1" si="17"/>
        <v>0</v>
      </c>
      <c r="I131" s="92">
        <f t="shared" ca="1" si="17"/>
        <v>0</v>
      </c>
      <c r="J131" s="45" t="str">
        <f t="shared" ca="1" si="17"/>
        <v/>
      </c>
      <c r="K131" s="45" t="str">
        <f t="shared" ca="1" si="17"/>
        <v/>
      </c>
      <c r="L131" s="45" t="str">
        <f t="shared" ca="1" si="17"/>
        <v/>
      </c>
      <c r="M131" s="45" t="str">
        <f t="shared" ca="1" si="17"/>
        <v/>
      </c>
      <c r="N131" s="45" t="str">
        <f t="shared" ca="1" si="17"/>
        <v/>
      </c>
      <c r="O131" s="45" t="str">
        <f t="shared" ca="1" si="17"/>
        <v/>
      </c>
      <c r="P131" s="92">
        <f t="shared" ca="1" si="17"/>
        <v>0</v>
      </c>
      <c r="Q131" s="92" t="str">
        <f t="shared" ca="1" si="16"/>
        <v/>
      </c>
      <c r="R131" s="92">
        <f t="shared" ca="1" si="16"/>
        <v>0</v>
      </c>
      <c r="S131" s="92" t="str">
        <f t="shared" ca="1" si="16"/>
        <v/>
      </c>
      <c r="T131" s="92" t="str">
        <f t="shared" ca="1" si="16"/>
        <v/>
      </c>
    </row>
    <row r="132" spans="1:20" s="54" customFormat="1" ht="13.5" customHeight="1">
      <c r="A132" s="45" t="str">
        <f t="shared" ca="1" si="17"/>
        <v/>
      </c>
      <c r="B132" s="45" t="str">
        <f t="shared" ca="1" si="17"/>
        <v/>
      </c>
      <c r="C132" s="45" t="str">
        <f t="shared" ca="1" si="17"/>
        <v/>
      </c>
      <c r="D132" s="92" t="str">
        <f t="shared" ca="1" si="17"/>
        <v/>
      </c>
      <c r="E132" s="92" t="str">
        <f t="shared" ca="1" si="17"/>
        <v/>
      </c>
      <c r="F132" s="92" t="str">
        <f t="shared" ca="1" si="17"/>
        <v/>
      </c>
      <c r="G132" s="92">
        <f t="shared" ca="1" si="17"/>
        <v>0</v>
      </c>
      <c r="H132" s="92">
        <f t="shared" ca="1" si="17"/>
        <v>0</v>
      </c>
      <c r="I132" s="92">
        <f t="shared" ca="1" si="17"/>
        <v>0</v>
      </c>
      <c r="J132" s="45" t="str">
        <f t="shared" ca="1" si="17"/>
        <v/>
      </c>
      <c r="K132" s="45" t="str">
        <f t="shared" ca="1" si="17"/>
        <v/>
      </c>
      <c r="L132" s="45" t="str">
        <f t="shared" ca="1" si="17"/>
        <v/>
      </c>
      <c r="M132" s="45" t="str">
        <f t="shared" ca="1" si="17"/>
        <v/>
      </c>
      <c r="N132" s="45" t="str">
        <f t="shared" ca="1" si="17"/>
        <v/>
      </c>
      <c r="O132" s="45" t="str">
        <f t="shared" ca="1" si="17"/>
        <v/>
      </c>
      <c r="P132" s="92">
        <f t="shared" ca="1" si="17"/>
        <v>0</v>
      </c>
      <c r="Q132" s="92" t="str">
        <f t="shared" ca="1" si="16"/>
        <v/>
      </c>
      <c r="R132" s="92">
        <f t="shared" ca="1" si="16"/>
        <v>0</v>
      </c>
      <c r="S132" s="92" t="str">
        <f t="shared" ca="1" si="16"/>
        <v/>
      </c>
      <c r="T132" s="92" t="str">
        <f t="shared" ca="1" si="16"/>
        <v/>
      </c>
    </row>
    <row r="133" spans="1:20" s="54" customFormat="1" ht="13.5" customHeight="1">
      <c r="A133" s="45" t="str">
        <f t="shared" ca="1" si="17"/>
        <v/>
      </c>
      <c r="B133" s="45" t="str">
        <f t="shared" ca="1" si="17"/>
        <v/>
      </c>
      <c r="C133" s="45" t="str">
        <f t="shared" ca="1" si="17"/>
        <v/>
      </c>
      <c r="D133" s="92" t="str">
        <f t="shared" ca="1" si="17"/>
        <v/>
      </c>
      <c r="E133" s="92" t="str">
        <f t="shared" ca="1" si="17"/>
        <v/>
      </c>
      <c r="F133" s="92" t="str">
        <f t="shared" ca="1" si="17"/>
        <v/>
      </c>
      <c r="G133" s="92">
        <f t="shared" ca="1" si="17"/>
        <v>0</v>
      </c>
      <c r="H133" s="92">
        <f t="shared" ca="1" si="17"/>
        <v>0</v>
      </c>
      <c r="I133" s="92">
        <f t="shared" ca="1" si="17"/>
        <v>0</v>
      </c>
      <c r="J133" s="45" t="str">
        <f t="shared" ca="1" si="17"/>
        <v/>
      </c>
      <c r="K133" s="45" t="str">
        <f t="shared" ca="1" si="17"/>
        <v/>
      </c>
      <c r="L133" s="45" t="str">
        <f t="shared" ca="1" si="17"/>
        <v/>
      </c>
      <c r="M133" s="45" t="str">
        <f t="shared" ca="1" si="17"/>
        <v/>
      </c>
      <c r="N133" s="45" t="str">
        <f t="shared" ca="1" si="17"/>
        <v/>
      </c>
      <c r="O133" s="45" t="str">
        <f t="shared" ca="1" si="17"/>
        <v/>
      </c>
      <c r="P133" s="92">
        <f t="shared" ca="1" si="17"/>
        <v>0</v>
      </c>
      <c r="Q133" s="92" t="str">
        <f t="shared" ca="1" si="16"/>
        <v/>
      </c>
      <c r="R133" s="92">
        <f t="shared" ca="1" si="16"/>
        <v>0</v>
      </c>
      <c r="S133" s="92" t="str">
        <f t="shared" ca="1" si="16"/>
        <v/>
      </c>
      <c r="T133" s="92" t="str">
        <f t="shared" ca="1" si="16"/>
        <v/>
      </c>
    </row>
    <row r="134" spans="1:20" s="54" customFormat="1" ht="13.5" customHeight="1">
      <c r="A134" s="45" t="str">
        <f t="shared" ca="1" si="17"/>
        <v/>
      </c>
      <c r="B134" s="45" t="str">
        <f t="shared" ca="1" si="17"/>
        <v/>
      </c>
      <c r="C134" s="45" t="str">
        <f t="shared" ca="1" si="17"/>
        <v/>
      </c>
      <c r="D134" s="92" t="str">
        <f t="shared" ca="1" si="17"/>
        <v/>
      </c>
      <c r="E134" s="92" t="str">
        <f t="shared" ca="1" si="17"/>
        <v/>
      </c>
      <c r="F134" s="92" t="str">
        <f t="shared" ca="1" si="17"/>
        <v/>
      </c>
      <c r="G134" s="92">
        <f t="shared" ca="1" si="17"/>
        <v>0</v>
      </c>
      <c r="H134" s="92">
        <f t="shared" ca="1" si="17"/>
        <v>0</v>
      </c>
      <c r="I134" s="92">
        <f t="shared" ca="1" si="17"/>
        <v>0</v>
      </c>
      <c r="J134" s="45" t="str">
        <f t="shared" ca="1" si="17"/>
        <v/>
      </c>
      <c r="K134" s="45" t="str">
        <f t="shared" ca="1" si="17"/>
        <v/>
      </c>
      <c r="L134" s="45" t="str">
        <f t="shared" ca="1" si="17"/>
        <v/>
      </c>
      <c r="M134" s="45" t="str">
        <f t="shared" ca="1" si="17"/>
        <v/>
      </c>
      <c r="N134" s="45" t="str">
        <f t="shared" ca="1" si="17"/>
        <v/>
      </c>
      <c r="O134" s="45" t="str">
        <f t="shared" ca="1" si="17"/>
        <v/>
      </c>
      <c r="P134" s="92">
        <f t="shared" ca="1" si="17"/>
        <v>0</v>
      </c>
      <c r="Q134" s="92" t="str">
        <f t="shared" ca="1" si="16"/>
        <v/>
      </c>
      <c r="R134" s="92">
        <f t="shared" ca="1" si="16"/>
        <v>0</v>
      </c>
      <c r="S134" s="92" t="str">
        <f t="shared" ca="1" si="16"/>
        <v/>
      </c>
      <c r="T134" s="92" t="str">
        <f t="shared" ca="1" si="16"/>
        <v/>
      </c>
    </row>
    <row r="135" spans="1:20" s="54" customFormat="1" ht="13.5" customHeight="1">
      <c r="A135" s="45" t="str">
        <f t="shared" ca="1" si="17"/>
        <v/>
      </c>
      <c r="B135" s="45" t="str">
        <f t="shared" ca="1" si="17"/>
        <v/>
      </c>
      <c r="C135" s="45" t="str">
        <f t="shared" ca="1" si="17"/>
        <v/>
      </c>
      <c r="D135" s="92" t="str">
        <f t="shared" ca="1" si="17"/>
        <v/>
      </c>
      <c r="E135" s="92" t="str">
        <f t="shared" ca="1" si="17"/>
        <v/>
      </c>
      <c r="F135" s="92" t="str">
        <f t="shared" ca="1" si="17"/>
        <v/>
      </c>
      <c r="G135" s="92">
        <f t="shared" ca="1" si="17"/>
        <v>0</v>
      </c>
      <c r="H135" s="92">
        <f t="shared" ca="1" si="17"/>
        <v>0</v>
      </c>
      <c r="I135" s="92">
        <f t="shared" ca="1" si="17"/>
        <v>0</v>
      </c>
      <c r="J135" s="45" t="str">
        <f t="shared" ca="1" si="17"/>
        <v/>
      </c>
      <c r="K135" s="45" t="str">
        <f t="shared" ca="1" si="17"/>
        <v/>
      </c>
      <c r="L135" s="45" t="str">
        <f t="shared" ca="1" si="17"/>
        <v/>
      </c>
      <c r="M135" s="45" t="str">
        <f t="shared" ca="1" si="17"/>
        <v/>
      </c>
      <c r="N135" s="45" t="str">
        <f t="shared" ca="1" si="17"/>
        <v/>
      </c>
      <c r="O135" s="45" t="str">
        <f t="shared" ca="1" si="17"/>
        <v/>
      </c>
      <c r="P135" s="92">
        <f t="shared" ca="1" si="17"/>
        <v>0</v>
      </c>
      <c r="Q135" s="92" t="str">
        <f t="shared" ca="1" si="16"/>
        <v/>
      </c>
      <c r="R135" s="92">
        <f t="shared" ca="1" si="16"/>
        <v>0</v>
      </c>
      <c r="S135" s="92" t="str">
        <f t="shared" ca="1" si="16"/>
        <v/>
      </c>
      <c r="T135" s="92" t="str">
        <f t="shared" ca="1" si="16"/>
        <v/>
      </c>
    </row>
    <row r="136" spans="1:20" s="54" customFormat="1" ht="13.5" customHeight="1">
      <c r="A136" s="45" t="str">
        <f t="shared" ca="1" si="17"/>
        <v/>
      </c>
      <c r="B136" s="45" t="str">
        <f t="shared" ca="1" si="17"/>
        <v/>
      </c>
      <c r="C136" s="45" t="str">
        <f t="shared" ca="1" si="17"/>
        <v/>
      </c>
      <c r="D136" s="92" t="str">
        <f t="shared" ca="1" si="17"/>
        <v/>
      </c>
      <c r="E136" s="92" t="str">
        <f t="shared" ca="1" si="17"/>
        <v/>
      </c>
      <c r="F136" s="92" t="str">
        <f t="shared" ca="1" si="17"/>
        <v/>
      </c>
      <c r="G136" s="92">
        <f t="shared" ca="1" si="17"/>
        <v>0</v>
      </c>
      <c r="H136" s="92">
        <f t="shared" ca="1" si="17"/>
        <v>0</v>
      </c>
      <c r="I136" s="92">
        <f t="shared" ca="1" si="17"/>
        <v>0</v>
      </c>
      <c r="J136" s="45" t="str">
        <f t="shared" ca="1" si="17"/>
        <v/>
      </c>
      <c r="K136" s="45" t="str">
        <f t="shared" ca="1" si="17"/>
        <v/>
      </c>
      <c r="L136" s="45" t="str">
        <f t="shared" ca="1" si="17"/>
        <v/>
      </c>
      <c r="M136" s="45" t="str">
        <f t="shared" ca="1" si="17"/>
        <v/>
      </c>
      <c r="N136" s="45" t="str">
        <f t="shared" ca="1" si="17"/>
        <v/>
      </c>
      <c r="O136" s="45" t="str">
        <f t="shared" ca="1" si="17"/>
        <v/>
      </c>
      <c r="P136" s="92">
        <f t="shared" ca="1" si="17"/>
        <v>0</v>
      </c>
      <c r="Q136" s="92" t="str">
        <f t="shared" ca="1" si="16"/>
        <v/>
      </c>
      <c r="R136" s="92">
        <f t="shared" ca="1" si="16"/>
        <v>0</v>
      </c>
      <c r="S136" s="92" t="str">
        <f t="shared" ca="1" si="16"/>
        <v/>
      </c>
      <c r="T136" s="92" t="str">
        <f t="shared" ca="1" si="16"/>
        <v/>
      </c>
    </row>
    <row r="137" spans="1:20" s="54" customFormat="1" ht="13.5" customHeight="1">
      <c r="A137" s="45" t="str">
        <f t="shared" ca="1" si="17"/>
        <v/>
      </c>
      <c r="B137" s="45" t="str">
        <f t="shared" ca="1" si="17"/>
        <v/>
      </c>
      <c r="C137" s="45" t="str">
        <f t="shared" ca="1" si="17"/>
        <v/>
      </c>
      <c r="D137" s="92" t="str">
        <f t="shared" ca="1" si="17"/>
        <v/>
      </c>
      <c r="E137" s="92" t="str">
        <f t="shared" ca="1" si="17"/>
        <v/>
      </c>
      <c r="F137" s="92" t="str">
        <f t="shared" ca="1" si="17"/>
        <v/>
      </c>
      <c r="G137" s="92">
        <f t="shared" ca="1" si="17"/>
        <v>0</v>
      </c>
      <c r="H137" s="92">
        <f t="shared" ca="1" si="17"/>
        <v>0</v>
      </c>
      <c r="I137" s="92">
        <f t="shared" ca="1" si="17"/>
        <v>0</v>
      </c>
      <c r="J137" s="45" t="str">
        <f t="shared" ca="1" si="17"/>
        <v/>
      </c>
      <c r="K137" s="45" t="str">
        <f t="shared" ca="1" si="17"/>
        <v/>
      </c>
      <c r="L137" s="45" t="str">
        <f t="shared" ca="1" si="17"/>
        <v/>
      </c>
      <c r="M137" s="45" t="str">
        <f t="shared" ca="1" si="17"/>
        <v/>
      </c>
      <c r="N137" s="45" t="str">
        <f t="shared" ca="1" si="17"/>
        <v/>
      </c>
      <c r="O137" s="45" t="str">
        <f t="shared" ca="1" si="17"/>
        <v/>
      </c>
      <c r="P137" s="92">
        <f t="shared" ca="1" si="17"/>
        <v>0</v>
      </c>
      <c r="Q137" s="92" t="str">
        <f t="shared" ca="1" si="16"/>
        <v/>
      </c>
      <c r="R137" s="92">
        <f t="shared" ca="1" si="16"/>
        <v>0</v>
      </c>
      <c r="S137" s="92" t="str">
        <f t="shared" ca="1" si="16"/>
        <v/>
      </c>
      <c r="T137" s="92" t="str">
        <f t="shared" ca="1" si="16"/>
        <v/>
      </c>
    </row>
    <row r="138" spans="1:20" s="54" customFormat="1" ht="13.5" customHeight="1">
      <c r="A138" s="45" t="str">
        <f t="shared" ca="1" si="17"/>
        <v/>
      </c>
      <c r="B138" s="45" t="str">
        <f t="shared" ca="1" si="17"/>
        <v/>
      </c>
      <c r="C138" s="45" t="str">
        <f t="shared" ca="1" si="17"/>
        <v/>
      </c>
      <c r="D138" s="92" t="str">
        <f t="shared" ca="1" si="17"/>
        <v/>
      </c>
      <c r="E138" s="92" t="str">
        <f t="shared" ca="1" si="17"/>
        <v/>
      </c>
      <c r="F138" s="92" t="str">
        <f t="shared" ca="1" si="17"/>
        <v/>
      </c>
      <c r="G138" s="92">
        <f t="shared" ca="1" si="17"/>
        <v>0</v>
      </c>
      <c r="H138" s="92">
        <f t="shared" ca="1" si="17"/>
        <v>0</v>
      </c>
      <c r="I138" s="92">
        <f t="shared" ca="1" si="17"/>
        <v>0</v>
      </c>
      <c r="J138" s="45" t="str">
        <f t="shared" ca="1" si="17"/>
        <v/>
      </c>
      <c r="K138" s="45" t="str">
        <f t="shared" ca="1" si="17"/>
        <v/>
      </c>
      <c r="L138" s="45" t="str">
        <f t="shared" ca="1" si="17"/>
        <v/>
      </c>
      <c r="M138" s="45" t="str">
        <f t="shared" ca="1" si="17"/>
        <v/>
      </c>
      <c r="N138" s="45" t="str">
        <f t="shared" ca="1" si="17"/>
        <v/>
      </c>
      <c r="O138" s="45" t="str">
        <f t="shared" ca="1" si="17"/>
        <v/>
      </c>
      <c r="P138" s="92">
        <f t="shared" ca="1" si="17"/>
        <v>0</v>
      </c>
      <c r="Q138" s="92" t="str">
        <f t="shared" ca="1" si="16"/>
        <v/>
      </c>
      <c r="R138" s="92">
        <f t="shared" ca="1" si="16"/>
        <v>0</v>
      </c>
      <c r="S138" s="92" t="str">
        <f t="shared" ca="1" si="16"/>
        <v/>
      </c>
      <c r="T138" s="92" t="str">
        <f t="shared" ca="1" si="16"/>
        <v/>
      </c>
    </row>
    <row r="139" spans="1:20" s="54" customFormat="1" ht="13.5" customHeight="1">
      <c r="A139" s="45" t="str">
        <f t="shared" ca="1" si="17"/>
        <v/>
      </c>
      <c r="B139" s="45" t="str">
        <f t="shared" ca="1" si="17"/>
        <v/>
      </c>
      <c r="C139" s="45" t="str">
        <f t="shared" ca="1" si="17"/>
        <v/>
      </c>
      <c r="D139" s="92" t="str">
        <f t="shared" ca="1" si="17"/>
        <v/>
      </c>
      <c r="E139" s="92" t="str">
        <f t="shared" ca="1" si="17"/>
        <v/>
      </c>
      <c r="F139" s="92" t="str">
        <f t="shared" ca="1" si="17"/>
        <v/>
      </c>
      <c r="G139" s="92">
        <f t="shared" ca="1" si="17"/>
        <v>0</v>
      </c>
      <c r="H139" s="92">
        <f t="shared" ca="1" si="17"/>
        <v>0</v>
      </c>
      <c r="I139" s="92">
        <f t="shared" ca="1" si="17"/>
        <v>0</v>
      </c>
      <c r="J139" s="45" t="str">
        <f t="shared" ca="1" si="17"/>
        <v/>
      </c>
      <c r="K139" s="45" t="str">
        <f t="shared" ca="1" si="17"/>
        <v/>
      </c>
      <c r="L139" s="45" t="str">
        <f t="shared" ca="1" si="17"/>
        <v/>
      </c>
      <c r="M139" s="45" t="str">
        <f t="shared" ca="1" si="17"/>
        <v/>
      </c>
      <c r="N139" s="45" t="str">
        <f t="shared" ca="1" si="17"/>
        <v/>
      </c>
      <c r="O139" s="45" t="str">
        <f t="shared" ca="1" si="17"/>
        <v/>
      </c>
      <c r="P139" s="92">
        <f t="shared" ca="1" si="17"/>
        <v>0</v>
      </c>
      <c r="Q139" s="92" t="str">
        <f t="shared" ca="1" si="16"/>
        <v/>
      </c>
      <c r="R139" s="92">
        <f t="shared" ca="1" si="16"/>
        <v>0</v>
      </c>
      <c r="S139" s="92" t="str">
        <f t="shared" ca="1" si="16"/>
        <v/>
      </c>
      <c r="T139" s="92" t="str">
        <f t="shared" ca="1" si="16"/>
        <v/>
      </c>
    </row>
    <row r="140" spans="1:20" s="54" customFormat="1" ht="13.5" customHeight="1">
      <c r="A140" s="45" t="str">
        <f t="shared" ca="1" si="17"/>
        <v/>
      </c>
      <c r="B140" s="45" t="str">
        <f t="shared" ca="1" si="17"/>
        <v/>
      </c>
      <c r="C140" s="45" t="str">
        <f t="shared" ca="1" si="17"/>
        <v/>
      </c>
      <c r="D140" s="92" t="str">
        <f t="shared" ca="1" si="17"/>
        <v/>
      </c>
      <c r="E140" s="92" t="str">
        <f t="shared" ca="1" si="17"/>
        <v/>
      </c>
      <c r="F140" s="92" t="str">
        <f t="shared" ca="1" si="17"/>
        <v/>
      </c>
      <c r="G140" s="92">
        <f t="shared" ca="1" si="17"/>
        <v>0</v>
      </c>
      <c r="H140" s="92">
        <f t="shared" ca="1" si="17"/>
        <v>0</v>
      </c>
      <c r="I140" s="92">
        <f t="shared" ca="1" si="17"/>
        <v>0</v>
      </c>
      <c r="J140" s="45" t="str">
        <f t="shared" ca="1" si="17"/>
        <v/>
      </c>
      <c r="K140" s="45" t="str">
        <f t="shared" ca="1" si="17"/>
        <v/>
      </c>
      <c r="L140" s="45" t="str">
        <f t="shared" ca="1" si="17"/>
        <v/>
      </c>
      <c r="M140" s="45" t="str">
        <f t="shared" ca="1" si="17"/>
        <v/>
      </c>
      <c r="N140" s="45" t="str">
        <f t="shared" ca="1" si="17"/>
        <v/>
      </c>
      <c r="O140" s="45" t="str">
        <f t="shared" ca="1" si="17"/>
        <v/>
      </c>
      <c r="P140" s="92">
        <f t="shared" ref="P140:T155" ca="1" si="18">IF(INDIRECT("제작의뢰서!"&amp;ADDRESS(ROW(),COLUMN()))="","",INDIRECT("제작의뢰서!"&amp;ADDRESS(ROW(),COLUMN())))</f>
        <v>0</v>
      </c>
      <c r="Q140" s="92" t="str">
        <f t="shared" ca="1" si="18"/>
        <v/>
      </c>
      <c r="R140" s="92">
        <f t="shared" ca="1" si="18"/>
        <v>0</v>
      </c>
      <c r="S140" s="92" t="str">
        <f t="shared" ca="1" si="18"/>
        <v/>
      </c>
      <c r="T140" s="92" t="str">
        <f t="shared" ca="1" si="18"/>
        <v/>
      </c>
    </row>
    <row r="141" spans="1:20" s="54" customFormat="1" ht="13.5" customHeight="1">
      <c r="A141" s="45" t="str">
        <f t="shared" ref="A141:P156" ca="1" si="19">IF(INDIRECT("제작의뢰서!"&amp;ADDRESS(ROW(),COLUMN()))="","",INDIRECT("제작의뢰서!"&amp;ADDRESS(ROW(),COLUMN())))</f>
        <v/>
      </c>
      <c r="B141" s="45" t="str">
        <f t="shared" ca="1" si="19"/>
        <v/>
      </c>
      <c r="C141" s="45" t="str">
        <f t="shared" ca="1" si="19"/>
        <v/>
      </c>
      <c r="D141" s="92" t="str">
        <f t="shared" ca="1" si="19"/>
        <v/>
      </c>
      <c r="E141" s="92" t="str">
        <f t="shared" ca="1" si="19"/>
        <v/>
      </c>
      <c r="F141" s="92" t="str">
        <f t="shared" ca="1" si="19"/>
        <v/>
      </c>
      <c r="G141" s="92">
        <f t="shared" ca="1" si="19"/>
        <v>0</v>
      </c>
      <c r="H141" s="92">
        <f t="shared" ca="1" si="19"/>
        <v>0</v>
      </c>
      <c r="I141" s="92">
        <f t="shared" ca="1" si="19"/>
        <v>0</v>
      </c>
      <c r="J141" s="45" t="str">
        <f t="shared" ca="1" si="19"/>
        <v/>
      </c>
      <c r="K141" s="45" t="str">
        <f t="shared" ca="1" si="19"/>
        <v/>
      </c>
      <c r="L141" s="45" t="str">
        <f t="shared" ca="1" si="19"/>
        <v/>
      </c>
      <c r="M141" s="45" t="str">
        <f t="shared" ca="1" si="19"/>
        <v/>
      </c>
      <c r="N141" s="45" t="str">
        <f t="shared" ca="1" si="19"/>
        <v/>
      </c>
      <c r="O141" s="45" t="str">
        <f t="shared" ca="1" si="19"/>
        <v/>
      </c>
      <c r="P141" s="92">
        <f t="shared" ca="1" si="19"/>
        <v>0</v>
      </c>
      <c r="Q141" s="92" t="str">
        <f t="shared" ca="1" si="18"/>
        <v/>
      </c>
      <c r="R141" s="92">
        <f t="shared" ca="1" si="18"/>
        <v>0</v>
      </c>
      <c r="S141" s="92" t="str">
        <f t="shared" ca="1" si="18"/>
        <v/>
      </c>
      <c r="T141" s="92" t="str">
        <f t="shared" ca="1" si="18"/>
        <v/>
      </c>
    </row>
    <row r="142" spans="1:20" s="54" customFormat="1" ht="13.5" customHeight="1">
      <c r="A142" s="45" t="str">
        <f t="shared" ca="1" si="19"/>
        <v/>
      </c>
      <c r="B142" s="45" t="str">
        <f t="shared" ca="1" si="19"/>
        <v/>
      </c>
      <c r="C142" s="45" t="str">
        <f t="shared" ca="1" si="19"/>
        <v/>
      </c>
      <c r="D142" s="92" t="str">
        <f t="shared" ca="1" si="19"/>
        <v/>
      </c>
      <c r="E142" s="92" t="str">
        <f t="shared" ca="1" si="19"/>
        <v/>
      </c>
      <c r="F142" s="92" t="str">
        <f t="shared" ca="1" si="19"/>
        <v/>
      </c>
      <c r="G142" s="92">
        <f t="shared" ca="1" si="19"/>
        <v>0</v>
      </c>
      <c r="H142" s="92">
        <f t="shared" ca="1" si="19"/>
        <v>0</v>
      </c>
      <c r="I142" s="92">
        <f t="shared" ca="1" si="19"/>
        <v>0</v>
      </c>
      <c r="J142" s="45" t="str">
        <f t="shared" ca="1" si="19"/>
        <v/>
      </c>
      <c r="K142" s="45" t="str">
        <f t="shared" ca="1" si="19"/>
        <v/>
      </c>
      <c r="L142" s="45" t="str">
        <f t="shared" ca="1" si="19"/>
        <v/>
      </c>
      <c r="M142" s="45" t="str">
        <f t="shared" ca="1" si="19"/>
        <v/>
      </c>
      <c r="N142" s="45" t="str">
        <f t="shared" ca="1" si="19"/>
        <v/>
      </c>
      <c r="O142" s="45" t="str">
        <f t="shared" ca="1" si="19"/>
        <v/>
      </c>
      <c r="P142" s="92">
        <f t="shared" ca="1" si="19"/>
        <v>0</v>
      </c>
      <c r="Q142" s="92" t="str">
        <f t="shared" ca="1" si="18"/>
        <v/>
      </c>
      <c r="R142" s="92">
        <f t="shared" ca="1" si="18"/>
        <v>0</v>
      </c>
      <c r="S142" s="92" t="str">
        <f t="shared" ca="1" si="18"/>
        <v/>
      </c>
      <c r="T142" s="92" t="str">
        <f t="shared" ca="1" si="18"/>
        <v/>
      </c>
    </row>
    <row r="143" spans="1:20" s="54" customFormat="1" ht="13.5" customHeight="1">
      <c r="A143" s="45" t="str">
        <f t="shared" ca="1" si="19"/>
        <v/>
      </c>
      <c r="B143" s="45" t="str">
        <f t="shared" ca="1" si="19"/>
        <v/>
      </c>
      <c r="C143" s="45" t="str">
        <f t="shared" ca="1" si="19"/>
        <v/>
      </c>
      <c r="D143" s="92" t="str">
        <f t="shared" ca="1" si="19"/>
        <v/>
      </c>
      <c r="E143" s="92" t="str">
        <f t="shared" ca="1" si="19"/>
        <v/>
      </c>
      <c r="F143" s="92" t="str">
        <f t="shared" ca="1" si="19"/>
        <v/>
      </c>
      <c r="G143" s="92">
        <f t="shared" ca="1" si="19"/>
        <v>0</v>
      </c>
      <c r="H143" s="92">
        <f t="shared" ca="1" si="19"/>
        <v>0</v>
      </c>
      <c r="I143" s="92">
        <f t="shared" ca="1" si="19"/>
        <v>0</v>
      </c>
      <c r="J143" s="45" t="str">
        <f t="shared" ca="1" si="19"/>
        <v/>
      </c>
      <c r="K143" s="45" t="str">
        <f t="shared" ca="1" si="19"/>
        <v/>
      </c>
      <c r="L143" s="45" t="str">
        <f t="shared" ca="1" si="19"/>
        <v/>
      </c>
      <c r="M143" s="45" t="str">
        <f t="shared" ca="1" si="19"/>
        <v/>
      </c>
      <c r="N143" s="45" t="str">
        <f t="shared" ca="1" si="19"/>
        <v/>
      </c>
      <c r="O143" s="45" t="str">
        <f t="shared" ca="1" si="19"/>
        <v/>
      </c>
      <c r="P143" s="92">
        <f t="shared" ca="1" si="19"/>
        <v>0</v>
      </c>
      <c r="Q143" s="92" t="str">
        <f t="shared" ca="1" si="18"/>
        <v/>
      </c>
      <c r="R143" s="92">
        <f t="shared" ca="1" si="18"/>
        <v>0</v>
      </c>
      <c r="S143" s="92" t="str">
        <f t="shared" ca="1" si="18"/>
        <v/>
      </c>
      <c r="T143" s="92" t="str">
        <f t="shared" ca="1" si="18"/>
        <v/>
      </c>
    </row>
    <row r="144" spans="1:20" s="54" customFormat="1" ht="13.5" customHeight="1">
      <c r="A144" s="45" t="str">
        <f t="shared" ca="1" si="19"/>
        <v/>
      </c>
      <c r="B144" s="45" t="str">
        <f t="shared" ca="1" si="19"/>
        <v/>
      </c>
      <c r="C144" s="45" t="str">
        <f t="shared" ca="1" si="19"/>
        <v/>
      </c>
      <c r="D144" s="92" t="str">
        <f t="shared" ca="1" si="19"/>
        <v/>
      </c>
      <c r="E144" s="92" t="str">
        <f t="shared" ca="1" si="19"/>
        <v/>
      </c>
      <c r="F144" s="92" t="str">
        <f t="shared" ca="1" si="19"/>
        <v/>
      </c>
      <c r="G144" s="92">
        <f t="shared" ca="1" si="19"/>
        <v>0</v>
      </c>
      <c r="H144" s="92">
        <f t="shared" ca="1" si="19"/>
        <v>0</v>
      </c>
      <c r="I144" s="92">
        <f t="shared" ca="1" si="19"/>
        <v>0</v>
      </c>
      <c r="J144" s="45" t="str">
        <f t="shared" ca="1" si="19"/>
        <v/>
      </c>
      <c r="K144" s="45" t="str">
        <f t="shared" ca="1" si="19"/>
        <v/>
      </c>
      <c r="L144" s="45" t="str">
        <f t="shared" ca="1" si="19"/>
        <v/>
      </c>
      <c r="M144" s="45" t="str">
        <f t="shared" ca="1" si="19"/>
        <v/>
      </c>
      <c r="N144" s="45" t="str">
        <f t="shared" ca="1" si="19"/>
        <v/>
      </c>
      <c r="O144" s="45" t="str">
        <f t="shared" ca="1" si="19"/>
        <v/>
      </c>
      <c r="P144" s="92">
        <f t="shared" ca="1" si="19"/>
        <v>0</v>
      </c>
      <c r="Q144" s="92" t="str">
        <f t="shared" ca="1" si="18"/>
        <v/>
      </c>
      <c r="R144" s="92">
        <f t="shared" ca="1" si="18"/>
        <v>0</v>
      </c>
      <c r="S144" s="92" t="str">
        <f t="shared" ca="1" si="18"/>
        <v/>
      </c>
      <c r="T144" s="92" t="str">
        <f t="shared" ca="1" si="18"/>
        <v/>
      </c>
    </row>
    <row r="145" spans="1:20" s="54" customFormat="1" ht="13.5" customHeight="1">
      <c r="A145" s="45" t="str">
        <f t="shared" ca="1" si="19"/>
        <v/>
      </c>
      <c r="B145" s="45" t="str">
        <f t="shared" ca="1" si="19"/>
        <v/>
      </c>
      <c r="C145" s="45" t="str">
        <f t="shared" ca="1" si="19"/>
        <v/>
      </c>
      <c r="D145" s="92" t="str">
        <f t="shared" ca="1" si="19"/>
        <v/>
      </c>
      <c r="E145" s="92" t="str">
        <f t="shared" ca="1" si="19"/>
        <v/>
      </c>
      <c r="F145" s="92" t="str">
        <f t="shared" ca="1" si="19"/>
        <v/>
      </c>
      <c r="G145" s="92">
        <f t="shared" ca="1" si="19"/>
        <v>0</v>
      </c>
      <c r="H145" s="92">
        <f t="shared" ca="1" si="19"/>
        <v>0</v>
      </c>
      <c r="I145" s="92">
        <f t="shared" ca="1" si="19"/>
        <v>0</v>
      </c>
      <c r="J145" s="45" t="str">
        <f t="shared" ca="1" si="19"/>
        <v/>
      </c>
      <c r="K145" s="45" t="str">
        <f t="shared" ca="1" si="19"/>
        <v/>
      </c>
      <c r="L145" s="45" t="str">
        <f t="shared" ca="1" si="19"/>
        <v/>
      </c>
      <c r="M145" s="45" t="str">
        <f t="shared" ca="1" si="19"/>
        <v/>
      </c>
      <c r="N145" s="45" t="str">
        <f t="shared" ca="1" si="19"/>
        <v/>
      </c>
      <c r="O145" s="45" t="str">
        <f t="shared" ca="1" si="19"/>
        <v/>
      </c>
      <c r="P145" s="92">
        <f t="shared" ca="1" si="19"/>
        <v>0</v>
      </c>
      <c r="Q145" s="92" t="str">
        <f t="shared" ca="1" si="18"/>
        <v/>
      </c>
      <c r="R145" s="92">
        <f t="shared" ca="1" si="18"/>
        <v>0</v>
      </c>
      <c r="S145" s="92" t="str">
        <f t="shared" ca="1" si="18"/>
        <v/>
      </c>
      <c r="T145" s="92" t="str">
        <f t="shared" ca="1" si="18"/>
        <v/>
      </c>
    </row>
    <row r="146" spans="1:20" s="54" customFormat="1" ht="13.5" customHeight="1">
      <c r="A146" s="45" t="str">
        <f t="shared" ca="1" si="19"/>
        <v/>
      </c>
      <c r="B146" s="45" t="str">
        <f t="shared" ca="1" si="19"/>
        <v/>
      </c>
      <c r="C146" s="45" t="str">
        <f t="shared" ca="1" si="19"/>
        <v/>
      </c>
      <c r="D146" s="92" t="str">
        <f t="shared" ca="1" si="19"/>
        <v/>
      </c>
      <c r="E146" s="92" t="str">
        <f t="shared" ca="1" si="19"/>
        <v/>
      </c>
      <c r="F146" s="92" t="str">
        <f t="shared" ca="1" si="19"/>
        <v/>
      </c>
      <c r="G146" s="92">
        <f t="shared" ca="1" si="19"/>
        <v>0</v>
      </c>
      <c r="H146" s="92">
        <f t="shared" ca="1" si="19"/>
        <v>0</v>
      </c>
      <c r="I146" s="92">
        <f t="shared" ca="1" si="19"/>
        <v>0</v>
      </c>
      <c r="J146" s="45" t="str">
        <f t="shared" ca="1" si="19"/>
        <v/>
      </c>
      <c r="K146" s="45" t="str">
        <f t="shared" ca="1" si="19"/>
        <v/>
      </c>
      <c r="L146" s="45" t="str">
        <f t="shared" ca="1" si="19"/>
        <v/>
      </c>
      <c r="M146" s="45" t="str">
        <f t="shared" ca="1" si="19"/>
        <v/>
      </c>
      <c r="N146" s="45" t="str">
        <f t="shared" ca="1" si="19"/>
        <v/>
      </c>
      <c r="O146" s="45" t="str">
        <f t="shared" ca="1" si="19"/>
        <v/>
      </c>
      <c r="P146" s="92">
        <f t="shared" ca="1" si="19"/>
        <v>0</v>
      </c>
      <c r="Q146" s="92" t="str">
        <f t="shared" ca="1" si="18"/>
        <v/>
      </c>
      <c r="R146" s="92">
        <f t="shared" ca="1" si="18"/>
        <v>0</v>
      </c>
      <c r="S146" s="92" t="str">
        <f t="shared" ca="1" si="18"/>
        <v/>
      </c>
      <c r="T146" s="92" t="str">
        <f t="shared" ca="1" si="18"/>
        <v/>
      </c>
    </row>
    <row r="147" spans="1:20" s="54" customFormat="1" ht="13.5" customHeight="1">
      <c r="A147" s="45" t="str">
        <f t="shared" ca="1" si="19"/>
        <v/>
      </c>
      <c r="B147" s="45" t="str">
        <f t="shared" ca="1" si="19"/>
        <v/>
      </c>
      <c r="C147" s="45" t="str">
        <f t="shared" ca="1" si="19"/>
        <v/>
      </c>
      <c r="D147" s="92" t="str">
        <f t="shared" ca="1" si="19"/>
        <v/>
      </c>
      <c r="E147" s="92" t="str">
        <f t="shared" ca="1" si="19"/>
        <v/>
      </c>
      <c r="F147" s="92" t="str">
        <f t="shared" ca="1" si="19"/>
        <v/>
      </c>
      <c r="G147" s="92">
        <f t="shared" ca="1" si="19"/>
        <v>0</v>
      </c>
      <c r="H147" s="92">
        <f t="shared" ca="1" si="19"/>
        <v>0</v>
      </c>
      <c r="I147" s="92">
        <f t="shared" ca="1" si="19"/>
        <v>0</v>
      </c>
      <c r="J147" s="45" t="str">
        <f t="shared" ca="1" si="19"/>
        <v/>
      </c>
      <c r="K147" s="45" t="str">
        <f t="shared" ca="1" si="19"/>
        <v/>
      </c>
      <c r="L147" s="45" t="str">
        <f t="shared" ca="1" si="19"/>
        <v/>
      </c>
      <c r="M147" s="45" t="str">
        <f t="shared" ca="1" si="19"/>
        <v/>
      </c>
      <c r="N147" s="45" t="str">
        <f t="shared" ca="1" si="19"/>
        <v/>
      </c>
      <c r="O147" s="45" t="str">
        <f t="shared" ca="1" si="19"/>
        <v/>
      </c>
      <c r="P147" s="92">
        <f t="shared" ca="1" si="19"/>
        <v>0</v>
      </c>
      <c r="Q147" s="92" t="str">
        <f t="shared" ca="1" si="18"/>
        <v/>
      </c>
      <c r="R147" s="92">
        <f t="shared" ca="1" si="18"/>
        <v>0</v>
      </c>
      <c r="S147" s="92" t="str">
        <f t="shared" ca="1" si="18"/>
        <v/>
      </c>
      <c r="T147" s="92" t="str">
        <f t="shared" ca="1" si="18"/>
        <v/>
      </c>
    </row>
    <row r="148" spans="1:20" s="54" customFormat="1" ht="13.5" customHeight="1">
      <c r="A148" s="45" t="str">
        <f t="shared" ca="1" si="19"/>
        <v/>
      </c>
      <c r="B148" s="45" t="str">
        <f t="shared" ca="1" si="19"/>
        <v/>
      </c>
      <c r="C148" s="45" t="str">
        <f t="shared" ca="1" si="19"/>
        <v/>
      </c>
      <c r="D148" s="92" t="str">
        <f t="shared" ca="1" si="19"/>
        <v/>
      </c>
      <c r="E148" s="92" t="str">
        <f t="shared" ca="1" si="19"/>
        <v/>
      </c>
      <c r="F148" s="92" t="str">
        <f t="shared" ca="1" si="19"/>
        <v/>
      </c>
      <c r="G148" s="92">
        <f t="shared" ca="1" si="19"/>
        <v>0</v>
      </c>
      <c r="H148" s="92">
        <f t="shared" ca="1" si="19"/>
        <v>0</v>
      </c>
      <c r="I148" s="92">
        <f t="shared" ca="1" si="19"/>
        <v>0</v>
      </c>
      <c r="J148" s="45" t="str">
        <f t="shared" ca="1" si="19"/>
        <v/>
      </c>
      <c r="K148" s="45" t="str">
        <f t="shared" ca="1" si="19"/>
        <v/>
      </c>
      <c r="L148" s="45" t="str">
        <f t="shared" ca="1" si="19"/>
        <v/>
      </c>
      <c r="M148" s="45" t="str">
        <f t="shared" ca="1" si="19"/>
        <v/>
      </c>
      <c r="N148" s="45" t="str">
        <f t="shared" ca="1" si="19"/>
        <v/>
      </c>
      <c r="O148" s="45" t="str">
        <f t="shared" ca="1" si="19"/>
        <v/>
      </c>
      <c r="P148" s="92">
        <f t="shared" ca="1" si="19"/>
        <v>0</v>
      </c>
      <c r="Q148" s="92" t="str">
        <f t="shared" ca="1" si="18"/>
        <v/>
      </c>
      <c r="R148" s="92">
        <f t="shared" ca="1" si="18"/>
        <v>0</v>
      </c>
      <c r="S148" s="92" t="str">
        <f t="shared" ca="1" si="18"/>
        <v/>
      </c>
      <c r="T148" s="92" t="str">
        <f t="shared" ca="1" si="18"/>
        <v/>
      </c>
    </row>
    <row r="149" spans="1:20" s="54" customFormat="1" ht="13.5" customHeight="1">
      <c r="A149" s="45" t="str">
        <f t="shared" ca="1" si="19"/>
        <v/>
      </c>
      <c r="B149" s="45" t="str">
        <f t="shared" ca="1" si="19"/>
        <v/>
      </c>
      <c r="C149" s="45" t="str">
        <f t="shared" ca="1" si="19"/>
        <v/>
      </c>
      <c r="D149" s="92" t="str">
        <f t="shared" ca="1" si="19"/>
        <v/>
      </c>
      <c r="E149" s="92" t="str">
        <f t="shared" ca="1" si="19"/>
        <v/>
      </c>
      <c r="F149" s="92" t="str">
        <f t="shared" ca="1" si="19"/>
        <v/>
      </c>
      <c r="G149" s="92">
        <f t="shared" ca="1" si="19"/>
        <v>0</v>
      </c>
      <c r="H149" s="92">
        <f t="shared" ca="1" si="19"/>
        <v>0</v>
      </c>
      <c r="I149" s="92">
        <f t="shared" ca="1" si="19"/>
        <v>0</v>
      </c>
      <c r="J149" s="45" t="str">
        <f t="shared" ca="1" si="19"/>
        <v/>
      </c>
      <c r="K149" s="45" t="str">
        <f t="shared" ca="1" si="19"/>
        <v/>
      </c>
      <c r="L149" s="45" t="str">
        <f t="shared" ca="1" si="19"/>
        <v/>
      </c>
      <c r="M149" s="45" t="str">
        <f t="shared" ca="1" si="19"/>
        <v/>
      </c>
      <c r="N149" s="45" t="str">
        <f t="shared" ca="1" si="19"/>
        <v/>
      </c>
      <c r="O149" s="45" t="str">
        <f t="shared" ca="1" si="19"/>
        <v/>
      </c>
      <c r="P149" s="92">
        <f t="shared" ca="1" si="19"/>
        <v>0</v>
      </c>
      <c r="Q149" s="92" t="str">
        <f t="shared" ca="1" si="18"/>
        <v/>
      </c>
      <c r="R149" s="92">
        <f t="shared" ca="1" si="18"/>
        <v>0</v>
      </c>
      <c r="S149" s="92" t="str">
        <f t="shared" ca="1" si="18"/>
        <v/>
      </c>
      <c r="T149" s="92" t="str">
        <f t="shared" ca="1" si="18"/>
        <v/>
      </c>
    </row>
    <row r="150" spans="1:20" s="54" customFormat="1" ht="13.5" customHeight="1">
      <c r="A150" s="45" t="str">
        <f t="shared" ca="1" si="19"/>
        <v/>
      </c>
      <c r="B150" s="45" t="str">
        <f t="shared" ca="1" si="19"/>
        <v/>
      </c>
      <c r="C150" s="45" t="str">
        <f t="shared" ca="1" si="19"/>
        <v/>
      </c>
      <c r="D150" s="92" t="str">
        <f t="shared" ca="1" si="19"/>
        <v/>
      </c>
      <c r="E150" s="92" t="str">
        <f t="shared" ca="1" si="19"/>
        <v/>
      </c>
      <c r="F150" s="92" t="str">
        <f t="shared" ca="1" si="19"/>
        <v/>
      </c>
      <c r="G150" s="92">
        <f t="shared" ca="1" si="19"/>
        <v>0</v>
      </c>
      <c r="H150" s="92">
        <f t="shared" ca="1" si="19"/>
        <v>0</v>
      </c>
      <c r="I150" s="92">
        <f t="shared" ca="1" si="19"/>
        <v>0</v>
      </c>
      <c r="J150" s="45" t="str">
        <f t="shared" ca="1" si="19"/>
        <v/>
      </c>
      <c r="K150" s="45" t="str">
        <f t="shared" ca="1" si="19"/>
        <v/>
      </c>
      <c r="L150" s="45" t="str">
        <f t="shared" ca="1" si="19"/>
        <v/>
      </c>
      <c r="M150" s="45" t="str">
        <f t="shared" ca="1" si="19"/>
        <v/>
      </c>
      <c r="N150" s="45" t="str">
        <f t="shared" ca="1" si="19"/>
        <v/>
      </c>
      <c r="O150" s="45" t="str">
        <f t="shared" ca="1" si="19"/>
        <v/>
      </c>
      <c r="P150" s="92">
        <f t="shared" ca="1" si="19"/>
        <v>0</v>
      </c>
      <c r="Q150" s="92" t="str">
        <f t="shared" ca="1" si="18"/>
        <v/>
      </c>
      <c r="R150" s="92">
        <f t="shared" ca="1" si="18"/>
        <v>0</v>
      </c>
      <c r="S150" s="92" t="str">
        <f t="shared" ca="1" si="18"/>
        <v/>
      </c>
      <c r="T150" s="92" t="str">
        <f t="shared" ca="1" si="18"/>
        <v/>
      </c>
    </row>
    <row r="151" spans="1:20" s="54" customFormat="1" ht="13.5" customHeight="1">
      <c r="A151" s="45" t="str">
        <f t="shared" ca="1" si="19"/>
        <v/>
      </c>
      <c r="B151" s="45" t="str">
        <f t="shared" ca="1" si="19"/>
        <v/>
      </c>
      <c r="C151" s="45" t="str">
        <f t="shared" ca="1" si="19"/>
        <v/>
      </c>
      <c r="D151" s="92" t="str">
        <f t="shared" ca="1" si="19"/>
        <v/>
      </c>
      <c r="E151" s="92" t="str">
        <f t="shared" ca="1" si="19"/>
        <v/>
      </c>
      <c r="F151" s="92" t="str">
        <f t="shared" ca="1" si="19"/>
        <v/>
      </c>
      <c r="G151" s="92">
        <f t="shared" ca="1" si="19"/>
        <v>0</v>
      </c>
      <c r="H151" s="92">
        <f t="shared" ca="1" si="19"/>
        <v>0</v>
      </c>
      <c r="I151" s="92">
        <f t="shared" ca="1" si="19"/>
        <v>0</v>
      </c>
      <c r="J151" s="45" t="str">
        <f t="shared" ca="1" si="19"/>
        <v/>
      </c>
      <c r="K151" s="45" t="str">
        <f t="shared" ca="1" si="19"/>
        <v/>
      </c>
      <c r="L151" s="45" t="str">
        <f t="shared" ca="1" si="19"/>
        <v/>
      </c>
      <c r="M151" s="45" t="str">
        <f t="shared" ca="1" si="19"/>
        <v/>
      </c>
      <c r="N151" s="45" t="str">
        <f t="shared" ca="1" si="19"/>
        <v/>
      </c>
      <c r="O151" s="45" t="str">
        <f t="shared" ca="1" si="19"/>
        <v/>
      </c>
      <c r="P151" s="92">
        <f t="shared" ca="1" si="19"/>
        <v>0</v>
      </c>
      <c r="Q151" s="92" t="str">
        <f t="shared" ca="1" si="18"/>
        <v/>
      </c>
      <c r="R151" s="92">
        <f t="shared" ca="1" si="18"/>
        <v>0</v>
      </c>
      <c r="S151" s="92" t="str">
        <f t="shared" ca="1" si="18"/>
        <v/>
      </c>
      <c r="T151" s="92" t="str">
        <f t="shared" ca="1" si="18"/>
        <v/>
      </c>
    </row>
    <row r="152" spans="1:20" s="54" customFormat="1" ht="13.5" customHeight="1">
      <c r="A152" s="45" t="str">
        <f t="shared" ca="1" si="19"/>
        <v/>
      </c>
      <c r="B152" s="45" t="str">
        <f t="shared" ca="1" si="19"/>
        <v/>
      </c>
      <c r="C152" s="45" t="str">
        <f t="shared" ca="1" si="19"/>
        <v/>
      </c>
      <c r="D152" s="92" t="str">
        <f t="shared" ca="1" si="19"/>
        <v/>
      </c>
      <c r="E152" s="92" t="str">
        <f t="shared" ca="1" si="19"/>
        <v/>
      </c>
      <c r="F152" s="92" t="str">
        <f t="shared" ca="1" si="19"/>
        <v/>
      </c>
      <c r="G152" s="92">
        <f t="shared" ca="1" si="19"/>
        <v>0</v>
      </c>
      <c r="H152" s="92">
        <f t="shared" ca="1" si="19"/>
        <v>0</v>
      </c>
      <c r="I152" s="92">
        <f t="shared" ca="1" si="19"/>
        <v>0</v>
      </c>
      <c r="J152" s="45" t="str">
        <f t="shared" ca="1" si="19"/>
        <v/>
      </c>
      <c r="K152" s="45" t="str">
        <f t="shared" ca="1" si="19"/>
        <v/>
      </c>
      <c r="L152" s="45" t="str">
        <f t="shared" ca="1" si="19"/>
        <v/>
      </c>
      <c r="M152" s="45" t="str">
        <f t="shared" ca="1" si="19"/>
        <v/>
      </c>
      <c r="N152" s="45" t="str">
        <f t="shared" ca="1" si="19"/>
        <v/>
      </c>
      <c r="O152" s="45" t="str">
        <f t="shared" ca="1" si="19"/>
        <v/>
      </c>
      <c r="P152" s="92">
        <f t="shared" ca="1" si="19"/>
        <v>0</v>
      </c>
      <c r="Q152" s="92" t="str">
        <f t="shared" ca="1" si="18"/>
        <v/>
      </c>
      <c r="R152" s="92">
        <f t="shared" ca="1" si="18"/>
        <v>0</v>
      </c>
      <c r="S152" s="92" t="str">
        <f t="shared" ca="1" si="18"/>
        <v/>
      </c>
      <c r="T152" s="92" t="str">
        <f t="shared" ca="1" si="18"/>
        <v/>
      </c>
    </row>
    <row r="153" spans="1:20" s="54" customFormat="1" ht="13.5" customHeight="1">
      <c r="A153" s="45" t="str">
        <f t="shared" ca="1" si="19"/>
        <v/>
      </c>
      <c r="B153" s="45" t="str">
        <f t="shared" ca="1" si="19"/>
        <v/>
      </c>
      <c r="C153" s="45" t="str">
        <f t="shared" ca="1" si="19"/>
        <v/>
      </c>
      <c r="D153" s="92" t="str">
        <f t="shared" ca="1" si="19"/>
        <v/>
      </c>
      <c r="E153" s="92" t="str">
        <f t="shared" ca="1" si="19"/>
        <v/>
      </c>
      <c r="F153" s="92" t="str">
        <f t="shared" ca="1" si="19"/>
        <v/>
      </c>
      <c r="G153" s="92">
        <f t="shared" ca="1" si="19"/>
        <v>0</v>
      </c>
      <c r="H153" s="92">
        <f t="shared" ca="1" si="19"/>
        <v>0</v>
      </c>
      <c r="I153" s="92">
        <f t="shared" ca="1" si="19"/>
        <v>0</v>
      </c>
      <c r="J153" s="45" t="str">
        <f t="shared" ca="1" si="19"/>
        <v/>
      </c>
      <c r="K153" s="45" t="str">
        <f t="shared" ca="1" si="19"/>
        <v/>
      </c>
      <c r="L153" s="45" t="str">
        <f t="shared" ca="1" si="19"/>
        <v/>
      </c>
      <c r="M153" s="45" t="str">
        <f t="shared" ca="1" si="19"/>
        <v/>
      </c>
      <c r="N153" s="45" t="str">
        <f t="shared" ca="1" si="19"/>
        <v/>
      </c>
      <c r="O153" s="45" t="str">
        <f t="shared" ca="1" si="19"/>
        <v/>
      </c>
      <c r="P153" s="92">
        <f t="shared" ca="1" si="19"/>
        <v>0</v>
      </c>
      <c r="Q153" s="92" t="str">
        <f t="shared" ca="1" si="18"/>
        <v/>
      </c>
      <c r="R153" s="92">
        <f t="shared" ca="1" si="18"/>
        <v>0</v>
      </c>
      <c r="S153" s="92" t="str">
        <f t="shared" ca="1" si="18"/>
        <v/>
      </c>
      <c r="T153" s="92" t="str">
        <f t="shared" ca="1" si="18"/>
        <v/>
      </c>
    </row>
    <row r="154" spans="1:20" s="54" customFormat="1" ht="13.5" customHeight="1">
      <c r="A154" s="45" t="str">
        <f t="shared" ca="1" si="19"/>
        <v/>
      </c>
      <c r="B154" s="45" t="str">
        <f t="shared" ca="1" si="19"/>
        <v/>
      </c>
      <c r="C154" s="45" t="str">
        <f t="shared" ca="1" si="19"/>
        <v/>
      </c>
      <c r="D154" s="92" t="str">
        <f t="shared" ca="1" si="19"/>
        <v/>
      </c>
      <c r="E154" s="92" t="str">
        <f t="shared" ca="1" si="19"/>
        <v/>
      </c>
      <c r="F154" s="92" t="str">
        <f t="shared" ca="1" si="19"/>
        <v/>
      </c>
      <c r="G154" s="92">
        <f t="shared" ca="1" si="19"/>
        <v>0</v>
      </c>
      <c r="H154" s="92">
        <f t="shared" ca="1" si="19"/>
        <v>0</v>
      </c>
      <c r="I154" s="92">
        <f t="shared" ca="1" si="19"/>
        <v>0</v>
      </c>
      <c r="J154" s="45" t="str">
        <f t="shared" ca="1" si="19"/>
        <v/>
      </c>
      <c r="K154" s="45" t="str">
        <f t="shared" ca="1" si="19"/>
        <v/>
      </c>
      <c r="L154" s="45" t="str">
        <f t="shared" ca="1" si="19"/>
        <v/>
      </c>
      <c r="M154" s="45" t="str">
        <f t="shared" ca="1" si="19"/>
        <v/>
      </c>
      <c r="N154" s="45" t="str">
        <f t="shared" ca="1" si="19"/>
        <v/>
      </c>
      <c r="O154" s="45" t="str">
        <f t="shared" ca="1" si="19"/>
        <v/>
      </c>
      <c r="P154" s="92">
        <f t="shared" ca="1" si="19"/>
        <v>0</v>
      </c>
      <c r="Q154" s="92" t="str">
        <f t="shared" ca="1" si="18"/>
        <v/>
      </c>
      <c r="R154" s="92">
        <f t="shared" ca="1" si="18"/>
        <v>0</v>
      </c>
      <c r="S154" s="92" t="str">
        <f t="shared" ca="1" si="18"/>
        <v/>
      </c>
      <c r="T154" s="92" t="str">
        <f t="shared" ca="1" si="18"/>
        <v/>
      </c>
    </row>
    <row r="155" spans="1:20" s="54" customFormat="1" ht="13.5" customHeight="1">
      <c r="A155" s="45" t="str">
        <f t="shared" ca="1" si="19"/>
        <v/>
      </c>
      <c r="B155" s="45" t="str">
        <f t="shared" ca="1" si="19"/>
        <v/>
      </c>
      <c r="C155" s="45" t="str">
        <f t="shared" ca="1" si="19"/>
        <v/>
      </c>
      <c r="D155" s="92" t="str">
        <f t="shared" ca="1" si="19"/>
        <v/>
      </c>
      <c r="E155" s="92" t="str">
        <f t="shared" ca="1" si="19"/>
        <v/>
      </c>
      <c r="F155" s="92" t="str">
        <f t="shared" ca="1" si="19"/>
        <v/>
      </c>
      <c r="G155" s="92">
        <f t="shared" ca="1" si="19"/>
        <v>0</v>
      </c>
      <c r="H155" s="92">
        <f t="shared" ca="1" si="19"/>
        <v>0</v>
      </c>
      <c r="I155" s="92">
        <f t="shared" ca="1" si="19"/>
        <v>0</v>
      </c>
      <c r="J155" s="45" t="str">
        <f t="shared" ca="1" si="19"/>
        <v/>
      </c>
      <c r="K155" s="45" t="str">
        <f t="shared" ca="1" si="19"/>
        <v/>
      </c>
      <c r="L155" s="45" t="str">
        <f t="shared" ca="1" si="19"/>
        <v/>
      </c>
      <c r="M155" s="45" t="str">
        <f t="shared" ca="1" si="19"/>
        <v/>
      </c>
      <c r="N155" s="45" t="str">
        <f t="shared" ca="1" si="19"/>
        <v/>
      </c>
      <c r="O155" s="45" t="str">
        <f t="shared" ca="1" si="19"/>
        <v/>
      </c>
      <c r="P155" s="92">
        <f t="shared" ca="1" si="19"/>
        <v>0</v>
      </c>
      <c r="Q155" s="92" t="str">
        <f t="shared" ca="1" si="18"/>
        <v/>
      </c>
      <c r="R155" s="92">
        <f t="shared" ca="1" si="18"/>
        <v>0</v>
      </c>
      <c r="S155" s="92" t="str">
        <f t="shared" ca="1" si="18"/>
        <v/>
      </c>
      <c r="T155" s="92" t="str">
        <f t="shared" ca="1" si="18"/>
        <v/>
      </c>
    </row>
    <row r="156" spans="1:20" s="54" customFormat="1" ht="13.5" customHeight="1">
      <c r="A156" s="45" t="str">
        <f t="shared" ca="1" si="19"/>
        <v/>
      </c>
      <c r="B156" s="45" t="str">
        <f t="shared" ca="1" si="19"/>
        <v/>
      </c>
      <c r="C156" s="45" t="str">
        <f t="shared" ca="1" si="19"/>
        <v/>
      </c>
      <c r="D156" s="92" t="str">
        <f t="shared" ca="1" si="19"/>
        <v/>
      </c>
      <c r="E156" s="92" t="str">
        <f t="shared" ca="1" si="19"/>
        <v/>
      </c>
      <c r="F156" s="92" t="str">
        <f t="shared" ca="1" si="19"/>
        <v/>
      </c>
      <c r="G156" s="92">
        <f t="shared" ca="1" si="19"/>
        <v>0</v>
      </c>
      <c r="H156" s="92">
        <f t="shared" ca="1" si="19"/>
        <v>0</v>
      </c>
      <c r="I156" s="92">
        <f t="shared" ca="1" si="19"/>
        <v>0</v>
      </c>
      <c r="J156" s="45" t="str">
        <f t="shared" ca="1" si="19"/>
        <v/>
      </c>
      <c r="K156" s="45" t="str">
        <f t="shared" ca="1" si="19"/>
        <v/>
      </c>
      <c r="L156" s="45" t="str">
        <f t="shared" ca="1" si="19"/>
        <v/>
      </c>
      <c r="M156" s="45" t="str">
        <f t="shared" ca="1" si="19"/>
        <v/>
      </c>
      <c r="N156" s="45" t="str">
        <f t="shared" ca="1" si="19"/>
        <v/>
      </c>
      <c r="O156" s="45" t="str">
        <f t="shared" ca="1" si="19"/>
        <v/>
      </c>
      <c r="P156" s="92">
        <f t="shared" ref="P156:T171" ca="1" si="20">IF(INDIRECT("제작의뢰서!"&amp;ADDRESS(ROW(),COLUMN()))="","",INDIRECT("제작의뢰서!"&amp;ADDRESS(ROW(),COLUMN())))</f>
        <v>0</v>
      </c>
      <c r="Q156" s="92" t="str">
        <f t="shared" ca="1" si="20"/>
        <v/>
      </c>
      <c r="R156" s="92">
        <f t="shared" ca="1" si="20"/>
        <v>0</v>
      </c>
      <c r="S156" s="92" t="str">
        <f t="shared" ca="1" si="20"/>
        <v/>
      </c>
      <c r="T156" s="92" t="str">
        <f t="shared" ca="1" si="20"/>
        <v/>
      </c>
    </row>
    <row r="157" spans="1:20" s="54" customFormat="1" ht="13.5" customHeight="1">
      <c r="A157" s="45" t="str">
        <f t="shared" ref="A157:P172" ca="1" si="21">IF(INDIRECT("제작의뢰서!"&amp;ADDRESS(ROW(),COLUMN()))="","",INDIRECT("제작의뢰서!"&amp;ADDRESS(ROW(),COLUMN())))</f>
        <v/>
      </c>
      <c r="B157" s="45" t="str">
        <f t="shared" ca="1" si="21"/>
        <v/>
      </c>
      <c r="C157" s="45" t="str">
        <f t="shared" ca="1" si="21"/>
        <v/>
      </c>
      <c r="D157" s="92" t="str">
        <f t="shared" ca="1" si="21"/>
        <v/>
      </c>
      <c r="E157" s="92" t="str">
        <f t="shared" ca="1" si="21"/>
        <v/>
      </c>
      <c r="F157" s="92" t="str">
        <f t="shared" ca="1" si="21"/>
        <v/>
      </c>
      <c r="G157" s="92">
        <f t="shared" ca="1" si="21"/>
        <v>0</v>
      </c>
      <c r="H157" s="92">
        <f t="shared" ca="1" si="21"/>
        <v>0</v>
      </c>
      <c r="I157" s="92">
        <f t="shared" ca="1" si="21"/>
        <v>0</v>
      </c>
      <c r="J157" s="45" t="str">
        <f t="shared" ca="1" si="21"/>
        <v/>
      </c>
      <c r="K157" s="45" t="str">
        <f t="shared" ca="1" si="21"/>
        <v/>
      </c>
      <c r="L157" s="45" t="str">
        <f t="shared" ca="1" si="21"/>
        <v/>
      </c>
      <c r="M157" s="45" t="str">
        <f t="shared" ca="1" si="21"/>
        <v/>
      </c>
      <c r="N157" s="45" t="str">
        <f t="shared" ca="1" si="21"/>
        <v/>
      </c>
      <c r="O157" s="45" t="str">
        <f t="shared" ca="1" si="21"/>
        <v/>
      </c>
      <c r="P157" s="92">
        <f t="shared" ca="1" si="21"/>
        <v>0</v>
      </c>
      <c r="Q157" s="92" t="str">
        <f t="shared" ca="1" si="20"/>
        <v/>
      </c>
      <c r="R157" s="92">
        <f t="shared" ca="1" si="20"/>
        <v>0</v>
      </c>
      <c r="S157" s="92" t="str">
        <f t="shared" ca="1" si="20"/>
        <v/>
      </c>
      <c r="T157" s="92" t="str">
        <f t="shared" ca="1" si="20"/>
        <v/>
      </c>
    </row>
    <row r="158" spans="1:20" s="54" customFormat="1" ht="13.5" customHeight="1">
      <c r="A158" s="45" t="str">
        <f t="shared" ca="1" si="21"/>
        <v/>
      </c>
      <c r="B158" s="45" t="str">
        <f t="shared" ca="1" si="21"/>
        <v/>
      </c>
      <c r="C158" s="45" t="str">
        <f t="shared" ca="1" si="21"/>
        <v/>
      </c>
      <c r="D158" s="92" t="str">
        <f t="shared" ca="1" si="21"/>
        <v/>
      </c>
      <c r="E158" s="92" t="str">
        <f t="shared" ca="1" si="21"/>
        <v/>
      </c>
      <c r="F158" s="92" t="str">
        <f t="shared" ca="1" si="21"/>
        <v/>
      </c>
      <c r="G158" s="92">
        <f t="shared" ca="1" si="21"/>
        <v>0</v>
      </c>
      <c r="H158" s="92">
        <f t="shared" ca="1" si="21"/>
        <v>0</v>
      </c>
      <c r="I158" s="92">
        <f t="shared" ca="1" si="21"/>
        <v>0</v>
      </c>
      <c r="J158" s="45" t="str">
        <f t="shared" ca="1" si="21"/>
        <v/>
      </c>
      <c r="K158" s="45" t="str">
        <f t="shared" ca="1" si="21"/>
        <v/>
      </c>
      <c r="L158" s="45" t="str">
        <f t="shared" ca="1" si="21"/>
        <v/>
      </c>
      <c r="M158" s="45" t="str">
        <f t="shared" ca="1" si="21"/>
        <v/>
      </c>
      <c r="N158" s="45" t="str">
        <f t="shared" ca="1" si="21"/>
        <v/>
      </c>
      <c r="O158" s="45" t="str">
        <f t="shared" ca="1" si="21"/>
        <v/>
      </c>
      <c r="P158" s="92">
        <f t="shared" ca="1" si="21"/>
        <v>0</v>
      </c>
      <c r="Q158" s="92" t="str">
        <f t="shared" ca="1" si="20"/>
        <v/>
      </c>
      <c r="R158" s="92">
        <f t="shared" ca="1" si="20"/>
        <v>0</v>
      </c>
      <c r="S158" s="92" t="str">
        <f t="shared" ca="1" si="20"/>
        <v/>
      </c>
      <c r="T158" s="92" t="str">
        <f t="shared" ca="1" si="20"/>
        <v/>
      </c>
    </row>
    <row r="159" spans="1:20" s="54" customFormat="1" ht="13.5" customHeight="1">
      <c r="A159" s="45" t="str">
        <f t="shared" ca="1" si="21"/>
        <v/>
      </c>
      <c r="B159" s="45" t="str">
        <f t="shared" ca="1" si="21"/>
        <v/>
      </c>
      <c r="C159" s="45" t="str">
        <f t="shared" ca="1" si="21"/>
        <v/>
      </c>
      <c r="D159" s="92" t="str">
        <f t="shared" ca="1" si="21"/>
        <v/>
      </c>
      <c r="E159" s="92" t="str">
        <f t="shared" ca="1" si="21"/>
        <v/>
      </c>
      <c r="F159" s="92" t="str">
        <f t="shared" ca="1" si="21"/>
        <v/>
      </c>
      <c r="G159" s="92">
        <f t="shared" ca="1" si="21"/>
        <v>0</v>
      </c>
      <c r="H159" s="92">
        <f t="shared" ca="1" si="21"/>
        <v>0</v>
      </c>
      <c r="I159" s="92">
        <f t="shared" ca="1" si="21"/>
        <v>0</v>
      </c>
      <c r="J159" s="45" t="str">
        <f t="shared" ca="1" si="21"/>
        <v/>
      </c>
      <c r="K159" s="45" t="str">
        <f t="shared" ca="1" si="21"/>
        <v/>
      </c>
      <c r="L159" s="45" t="str">
        <f t="shared" ca="1" si="21"/>
        <v/>
      </c>
      <c r="M159" s="45" t="str">
        <f t="shared" ca="1" si="21"/>
        <v/>
      </c>
      <c r="N159" s="45" t="str">
        <f t="shared" ca="1" si="21"/>
        <v/>
      </c>
      <c r="O159" s="45" t="str">
        <f t="shared" ca="1" si="21"/>
        <v/>
      </c>
      <c r="P159" s="92">
        <f t="shared" ca="1" si="21"/>
        <v>0</v>
      </c>
      <c r="Q159" s="92" t="str">
        <f t="shared" ca="1" si="20"/>
        <v/>
      </c>
      <c r="R159" s="92">
        <f t="shared" ca="1" si="20"/>
        <v>0</v>
      </c>
      <c r="S159" s="92" t="str">
        <f t="shared" ca="1" si="20"/>
        <v/>
      </c>
      <c r="T159" s="92" t="str">
        <f t="shared" ca="1" si="20"/>
        <v/>
      </c>
    </row>
    <row r="160" spans="1:20" s="54" customFormat="1" ht="13.5" customHeight="1">
      <c r="A160" s="45" t="str">
        <f t="shared" ca="1" si="21"/>
        <v/>
      </c>
      <c r="B160" s="45" t="str">
        <f t="shared" ca="1" si="21"/>
        <v/>
      </c>
      <c r="C160" s="45" t="str">
        <f t="shared" ca="1" si="21"/>
        <v/>
      </c>
      <c r="D160" s="92" t="str">
        <f t="shared" ca="1" si="21"/>
        <v/>
      </c>
      <c r="E160" s="92" t="str">
        <f t="shared" ca="1" si="21"/>
        <v/>
      </c>
      <c r="F160" s="92" t="str">
        <f t="shared" ca="1" si="21"/>
        <v/>
      </c>
      <c r="G160" s="92">
        <f t="shared" ca="1" si="21"/>
        <v>0</v>
      </c>
      <c r="H160" s="92">
        <f t="shared" ca="1" si="21"/>
        <v>0</v>
      </c>
      <c r="I160" s="92">
        <f t="shared" ca="1" si="21"/>
        <v>0</v>
      </c>
      <c r="J160" s="45" t="str">
        <f t="shared" ca="1" si="21"/>
        <v/>
      </c>
      <c r="K160" s="45" t="str">
        <f t="shared" ca="1" si="21"/>
        <v/>
      </c>
      <c r="L160" s="45" t="str">
        <f t="shared" ca="1" si="21"/>
        <v/>
      </c>
      <c r="M160" s="45" t="str">
        <f t="shared" ca="1" si="21"/>
        <v/>
      </c>
      <c r="N160" s="45" t="str">
        <f t="shared" ca="1" si="21"/>
        <v/>
      </c>
      <c r="O160" s="45" t="str">
        <f t="shared" ca="1" si="21"/>
        <v/>
      </c>
      <c r="P160" s="92">
        <f t="shared" ca="1" si="21"/>
        <v>0</v>
      </c>
      <c r="Q160" s="92" t="str">
        <f t="shared" ca="1" si="20"/>
        <v/>
      </c>
      <c r="R160" s="92">
        <f t="shared" ca="1" si="20"/>
        <v>0</v>
      </c>
      <c r="S160" s="92" t="str">
        <f t="shared" ca="1" si="20"/>
        <v/>
      </c>
      <c r="T160" s="92" t="str">
        <f t="shared" ca="1" si="20"/>
        <v/>
      </c>
    </row>
    <row r="161" spans="1:20" s="54" customFormat="1" ht="13.5" customHeight="1">
      <c r="A161" s="45" t="str">
        <f t="shared" ca="1" si="21"/>
        <v/>
      </c>
      <c r="B161" s="45" t="str">
        <f t="shared" ca="1" si="21"/>
        <v/>
      </c>
      <c r="C161" s="45" t="str">
        <f t="shared" ca="1" si="21"/>
        <v/>
      </c>
      <c r="D161" s="92" t="str">
        <f t="shared" ca="1" si="21"/>
        <v/>
      </c>
      <c r="E161" s="92" t="str">
        <f t="shared" ca="1" si="21"/>
        <v/>
      </c>
      <c r="F161" s="92" t="str">
        <f t="shared" ca="1" si="21"/>
        <v/>
      </c>
      <c r="G161" s="92">
        <f t="shared" ca="1" si="21"/>
        <v>0</v>
      </c>
      <c r="H161" s="92">
        <f t="shared" ca="1" si="21"/>
        <v>0</v>
      </c>
      <c r="I161" s="92">
        <f t="shared" ca="1" si="21"/>
        <v>0</v>
      </c>
      <c r="J161" s="45" t="str">
        <f t="shared" ca="1" si="21"/>
        <v/>
      </c>
      <c r="K161" s="45" t="str">
        <f t="shared" ca="1" si="21"/>
        <v/>
      </c>
      <c r="L161" s="45" t="str">
        <f t="shared" ca="1" si="21"/>
        <v/>
      </c>
      <c r="M161" s="45" t="str">
        <f t="shared" ca="1" si="21"/>
        <v/>
      </c>
      <c r="N161" s="45" t="str">
        <f t="shared" ca="1" si="21"/>
        <v/>
      </c>
      <c r="O161" s="45" t="str">
        <f t="shared" ca="1" si="21"/>
        <v/>
      </c>
      <c r="P161" s="92">
        <f t="shared" ca="1" si="21"/>
        <v>0</v>
      </c>
      <c r="Q161" s="92" t="str">
        <f t="shared" ca="1" si="20"/>
        <v/>
      </c>
      <c r="R161" s="92">
        <f t="shared" ca="1" si="20"/>
        <v>0</v>
      </c>
      <c r="S161" s="92" t="str">
        <f t="shared" ca="1" si="20"/>
        <v/>
      </c>
      <c r="T161" s="92" t="str">
        <f t="shared" ca="1" si="20"/>
        <v/>
      </c>
    </row>
    <row r="162" spans="1:20" s="54" customFormat="1" ht="13.5" customHeight="1">
      <c r="A162" s="45" t="str">
        <f t="shared" ca="1" si="21"/>
        <v/>
      </c>
      <c r="B162" s="45" t="str">
        <f t="shared" ca="1" si="21"/>
        <v/>
      </c>
      <c r="C162" s="45" t="str">
        <f t="shared" ca="1" si="21"/>
        <v/>
      </c>
      <c r="D162" s="92" t="str">
        <f t="shared" ca="1" si="21"/>
        <v/>
      </c>
      <c r="E162" s="92" t="str">
        <f t="shared" ca="1" si="21"/>
        <v/>
      </c>
      <c r="F162" s="92" t="str">
        <f t="shared" ca="1" si="21"/>
        <v/>
      </c>
      <c r="G162" s="92">
        <f t="shared" ca="1" si="21"/>
        <v>0</v>
      </c>
      <c r="H162" s="92">
        <f t="shared" ca="1" si="21"/>
        <v>0</v>
      </c>
      <c r="I162" s="92">
        <f t="shared" ca="1" si="21"/>
        <v>0</v>
      </c>
      <c r="J162" s="45" t="str">
        <f t="shared" ca="1" si="21"/>
        <v/>
      </c>
      <c r="K162" s="45" t="str">
        <f t="shared" ca="1" si="21"/>
        <v/>
      </c>
      <c r="L162" s="45" t="str">
        <f t="shared" ca="1" si="21"/>
        <v/>
      </c>
      <c r="M162" s="45" t="str">
        <f t="shared" ca="1" si="21"/>
        <v/>
      </c>
      <c r="N162" s="45" t="str">
        <f t="shared" ca="1" si="21"/>
        <v/>
      </c>
      <c r="O162" s="45" t="str">
        <f t="shared" ca="1" si="21"/>
        <v/>
      </c>
      <c r="P162" s="92">
        <f t="shared" ca="1" si="21"/>
        <v>0</v>
      </c>
      <c r="Q162" s="92" t="str">
        <f t="shared" ca="1" si="20"/>
        <v/>
      </c>
      <c r="R162" s="92">
        <f t="shared" ca="1" si="20"/>
        <v>0</v>
      </c>
      <c r="S162" s="92" t="str">
        <f t="shared" ca="1" si="20"/>
        <v/>
      </c>
      <c r="T162" s="92" t="str">
        <f t="shared" ca="1" si="20"/>
        <v/>
      </c>
    </row>
    <row r="163" spans="1:20" s="54" customFormat="1" ht="13.5" customHeight="1">
      <c r="A163" s="45" t="str">
        <f t="shared" ca="1" si="21"/>
        <v/>
      </c>
      <c r="B163" s="45" t="str">
        <f t="shared" ca="1" si="21"/>
        <v/>
      </c>
      <c r="C163" s="45" t="str">
        <f t="shared" ca="1" si="21"/>
        <v/>
      </c>
      <c r="D163" s="92" t="str">
        <f t="shared" ca="1" si="21"/>
        <v/>
      </c>
      <c r="E163" s="92" t="str">
        <f t="shared" ca="1" si="21"/>
        <v/>
      </c>
      <c r="F163" s="92" t="str">
        <f t="shared" ca="1" si="21"/>
        <v/>
      </c>
      <c r="G163" s="92">
        <f t="shared" ca="1" si="21"/>
        <v>0</v>
      </c>
      <c r="H163" s="92">
        <f t="shared" ca="1" si="21"/>
        <v>0</v>
      </c>
      <c r="I163" s="92">
        <f t="shared" ca="1" si="21"/>
        <v>0</v>
      </c>
      <c r="J163" s="45" t="str">
        <f t="shared" ca="1" si="21"/>
        <v/>
      </c>
      <c r="K163" s="45" t="str">
        <f t="shared" ca="1" si="21"/>
        <v/>
      </c>
      <c r="L163" s="45" t="str">
        <f t="shared" ca="1" si="21"/>
        <v/>
      </c>
      <c r="M163" s="45" t="str">
        <f t="shared" ca="1" si="21"/>
        <v/>
      </c>
      <c r="N163" s="45" t="str">
        <f t="shared" ca="1" si="21"/>
        <v/>
      </c>
      <c r="O163" s="45" t="str">
        <f t="shared" ca="1" si="21"/>
        <v/>
      </c>
      <c r="P163" s="92">
        <f t="shared" ca="1" si="21"/>
        <v>0</v>
      </c>
      <c r="Q163" s="92" t="str">
        <f t="shared" ca="1" si="20"/>
        <v/>
      </c>
      <c r="R163" s="92">
        <f t="shared" ca="1" si="20"/>
        <v>0</v>
      </c>
      <c r="S163" s="92" t="str">
        <f t="shared" ca="1" si="20"/>
        <v/>
      </c>
      <c r="T163" s="92" t="str">
        <f t="shared" ca="1" si="20"/>
        <v/>
      </c>
    </row>
    <row r="164" spans="1:20" s="54" customFormat="1" ht="13.5" customHeight="1">
      <c r="A164" s="45" t="str">
        <f t="shared" ca="1" si="21"/>
        <v/>
      </c>
      <c r="B164" s="45" t="str">
        <f t="shared" ca="1" si="21"/>
        <v/>
      </c>
      <c r="C164" s="45" t="str">
        <f t="shared" ca="1" si="21"/>
        <v/>
      </c>
      <c r="D164" s="92" t="str">
        <f t="shared" ca="1" si="21"/>
        <v/>
      </c>
      <c r="E164" s="92" t="str">
        <f t="shared" ca="1" si="21"/>
        <v/>
      </c>
      <c r="F164" s="92" t="str">
        <f t="shared" ca="1" si="21"/>
        <v/>
      </c>
      <c r="G164" s="92">
        <f t="shared" ca="1" si="21"/>
        <v>0</v>
      </c>
      <c r="H164" s="92">
        <f t="shared" ca="1" si="21"/>
        <v>0</v>
      </c>
      <c r="I164" s="92">
        <f t="shared" ca="1" si="21"/>
        <v>0</v>
      </c>
      <c r="J164" s="45" t="str">
        <f t="shared" ca="1" si="21"/>
        <v/>
      </c>
      <c r="K164" s="45" t="str">
        <f t="shared" ca="1" si="21"/>
        <v/>
      </c>
      <c r="L164" s="45" t="str">
        <f t="shared" ca="1" si="21"/>
        <v/>
      </c>
      <c r="M164" s="45" t="str">
        <f t="shared" ca="1" si="21"/>
        <v/>
      </c>
      <c r="N164" s="45" t="str">
        <f t="shared" ca="1" si="21"/>
        <v/>
      </c>
      <c r="O164" s="45" t="str">
        <f t="shared" ca="1" si="21"/>
        <v/>
      </c>
      <c r="P164" s="92">
        <f t="shared" ca="1" si="21"/>
        <v>0</v>
      </c>
      <c r="Q164" s="92" t="str">
        <f t="shared" ca="1" si="20"/>
        <v/>
      </c>
      <c r="R164" s="92">
        <f t="shared" ca="1" si="20"/>
        <v>0</v>
      </c>
      <c r="S164" s="92" t="str">
        <f t="shared" ca="1" si="20"/>
        <v/>
      </c>
      <c r="T164" s="92" t="str">
        <f t="shared" ca="1" si="20"/>
        <v/>
      </c>
    </row>
    <row r="165" spans="1:20" s="54" customFormat="1" ht="13.5" customHeight="1">
      <c r="A165" s="45" t="str">
        <f t="shared" ca="1" si="21"/>
        <v/>
      </c>
      <c r="B165" s="45" t="str">
        <f t="shared" ca="1" si="21"/>
        <v/>
      </c>
      <c r="C165" s="45" t="str">
        <f t="shared" ca="1" si="21"/>
        <v/>
      </c>
      <c r="D165" s="92" t="str">
        <f t="shared" ca="1" si="21"/>
        <v/>
      </c>
      <c r="E165" s="92" t="str">
        <f t="shared" ca="1" si="21"/>
        <v/>
      </c>
      <c r="F165" s="92" t="str">
        <f t="shared" ca="1" si="21"/>
        <v/>
      </c>
      <c r="G165" s="92">
        <f t="shared" ca="1" si="21"/>
        <v>0</v>
      </c>
      <c r="H165" s="92">
        <f t="shared" ca="1" si="21"/>
        <v>0</v>
      </c>
      <c r="I165" s="92">
        <f t="shared" ca="1" si="21"/>
        <v>0</v>
      </c>
      <c r="J165" s="45" t="str">
        <f t="shared" ca="1" si="21"/>
        <v/>
      </c>
      <c r="K165" s="45" t="str">
        <f t="shared" ca="1" si="21"/>
        <v/>
      </c>
      <c r="L165" s="45" t="str">
        <f t="shared" ca="1" si="21"/>
        <v/>
      </c>
      <c r="M165" s="45" t="str">
        <f t="shared" ca="1" si="21"/>
        <v/>
      </c>
      <c r="N165" s="45" t="str">
        <f t="shared" ca="1" si="21"/>
        <v/>
      </c>
      <c r="O165" s="45" t="str">
        <f t="shared" ca="1" si="21"/>
        <v/>
      </c>
      <c r="P165" s="92">
        <f t="shared" ca="1" si="21"/>
        <v>0</v>
      </c>
      <c r="Q165" s="92" t="str">
        <f t="shared" ca="1" si="20"/>
        <v/>
      </c>
      <c r="R165" s="92">
        <f t="shared" ca="1" si="20"/>
        <v>0</v>
      </c>
      <c r="S165" s="92" t="str">
        <f t="shared" ca="1" si="20"/>
        <v/>
      </c>
      <c r="T165" s="92" t="str">
        <f t="shared" ca="1" si="20"/>
        <v/>
      </c>
    </row>
    <row r="166" spans="1:20" s="54" customFormat="1" ht="13.5" customHeight="1">
      <c r="A166" s="45" t="str">
        <f t="shared" ca="1" si="21"/>
        <v/>
      </c>
      <c r="B166" s="45" t="str">
        <f t="shared" ca="1" si="21"/>
        <v/>
      </c>
      <c r="C166" s="45" t="str">
        <f t="shared" ca="1" si="21"/>
        <v/>
      </c>
      <c r="D166" s="92" t="str">
        <f t="shared" ca="1" si="21"/>
        <v/>
      </c>
      <c r="E166" s="92" t="str">
        <f t="shared" ca="1" si="21"/>
        <v/>
      </c>
      <c r="F166" s="92" t="str">
        <f t="shared" ca="1" si="21"/>
        <v/>
      </c>
      <c r="G166" s="92">
        <f t="shared" ca="1" si="21"/>
        <v>0</v>
      </c>
      <c r="H166" s="92">
        <f t="shared" ca="1" si="21"/>
        <v>0</v>
      </c>
      <c r="I166" s="92">
        <f t="shared" ca="1" si="21"/>
        <v>0</v>
      </c>
      <c r="J166" s="45" t="str">
        <f t="shared" ca="1" si="21"/>
        <v/>
      </c>
      <c r="K166" s="45" t="str">
        <f t="shared" ca="1" si="21"/>
        <v/>
      </c>
      <c r="L166" s="45" t="str">
        <f t="shared" ca="1" si="21"/>
        <v/>
      </c>
      <c r="M166" s="45" t="str">
        <f t="shared" ca="1" si="21"/>
        <v/>
      </c>
      <c r="N166" s="45" t="str">
        <f t="shared" ca="1" si="21"/>
        <v/>
      </c>
      <c r="O166" s="45" t="str">
        <f t="shared" ca="1" si="21"/>
        <v/>
      </c>
      <c r="P166" s="92">
        <f t="shared" ca="1" si="21"/>
        <v>0</v>
      </c>
      <c r="Q166" s="92" t="str">
        <f t="shared" ca="1" si="20"/>
        <v/>
      </c>
      <c r="R166" s="92">
        <f t="shared" ca="1" si="20"/>
        <v>0</v>
      </c>
      <c r="S166" s="92" t="str">
        <f t="shared" ca="1" si="20"/>
        <v/>
      </c>
      <c r="T166" s="92" t="str">
        <f t="shared" ca="1" si="20"/>
        <v/>
      </c>
    </row>
    <row r="167" spans="1:20" s="54" customFormat="1" ht="13.5" customHeight="1">
      <c r="A167" s="45" t="str">
        <f t="shared" ca="1" si="21"/>
        <v/>
      </c>
      <c r="B167" s="45" t="str">
        <f t="shared" ca="1" si="21"/>
        <v/>
      </c>
      <c r="C167" s="45" t="str">
        <f t="shared" ca="1" si="21"/>
        <v/>
      </c>
      <c r="D167" s="92" t="str">
        <f t="shared" ca="1" si="21"/>
        <v/>
      </c>
      <c r="E167" s="92" t="str">
        <f t="shared" ca="1" si="21"/>
        <v/>
      </c>
      <c r="F167" s="92" t="str">
        <f t="shared" ca="1" si="21"/>
        <v/>
      </c>
      <c r="G167" s="92">
        <f t="shared" ca="1" si="21"/>
        <v>0</v>
      </c>
      <c r="H167" s="92">
        <f t="shared" ca="1" si="21"/>
        <v>0</v>
      </c>
      <c r="I167" s="92">
        <f t="shared" ca="1" si="21"/>
        <v>0</v>
      </c>
      <c r="J167" s="45" t="str">
        <f t="shared" ca="1" si="21"/>
        <v/>
      </c>
      <c r="K167" s="45" t="str">
        <f t="shared" ca="1" si="21"/>
        <v/>
      </c>
      <c r="L167" s="45" t="str">
        <f t="shared" ca="1" si="21"/>
        <v/>
      </c>
      <c r="M167" s="45" t="str">
        <f t="shared" ca="1" si="21"/>
        <v/>
      </c>
      <c r="N167" s="45" t="str">
        <f t="shared" ca="1" si="21"/>
        <v/>
      </c>
      <c r="O167" s="45" t="str">
        <f t="shared" ca="1" si="21"/>
        <v/>
      </c>
      <c r="P167" s="92">
        <f t="shared" ca="1" si="21"/>
        <v>0</v>
      </c>
      <c r="Q167" s="92" t="str">
        <f t="shared" ca="1" si="20"/>
        <v/>
      </c>
      <c r="R167" s="92">
        <f t="shared" ca="1" si="20"/>
        <v>0</v>
      </c>
      <c r="S167" s="92" t="str">
        <f t="shared" ca="1" si="20"/>
        <v/>
      </c>
      <c r="T167" s="92" t="str">
        <f t="shared" ca="1" si="20"/>
        <v/>
      </c>
    </row>
    <row r="168" spans="1:20" s="54" customFormat="1" ht="13.5" customHeight="1">
      <c r="A168" s="45" t="str">
        <f t="shared" ca="1" si="21"/>
        <v/>
      </c>
      <c r="B168" s="45" t="str">
        <f t="shared" ca="1" si="21"/>
        <v/>
      </c>
      <c r="C168" s="45" t="str">
        <f t="shared" ca="1" si="21"/>
        <v/>
      </c>
      <c r="D168" s="92" t="str">
        <f t="shared" ca="1" si="21"/>
        <v/>
      </c>
      <c r="E168" s="92" t="str">
        <f t="shared" ca="1" si="21"/>
        <v/>
      </c>
      <c r="F168" s="92" t="str">
        <f t="shared" ca="1" si="21"/>
        <v/>
      </c>
      <c r="G168" s="92">
        <f t="shared" ca="1" si="21"/>
        <v>0</v>
      </c>
      <c r="H168" s="92">
        <f t="shared" ca="1" si="21"/>
        <v>0</v>
      </c>
      <c r="I168" s="92">
        <f t="shared" ca="1" si="21"/>
        <v>0</v>
      </c>
      <c r="J168" s="45" t="str">
        <f t="shared" ca="1" si="21"/>
        <v/>
      </c>
      <c r="K168" s="45" t="str">
        <f t="shared" ca="1" si="21"/>
        <v/>
      </c>
      <c r="L168" s="45" t="str">
        <f t="shared" ca="1" si="21"/>
        <v/>
      </c>
      <c r="M168" s="45" t="str">
        <f t="shared" ca="1" si="21"/>
        <v/>
      </c>
      <c r="N168" s="45" t="str">
        <f t="shared" ca="1" si="21"/>
        <v/>
      </c>
      <c r="O168" s="45" t="str">
        <f t="shared" ca="1" si="21"/>
        <v/>
      </c>
      <c r="P168" s="92">
        <f t="shared" ca="1" si="21"/>
        <v>0</v>
      </c>
      <c r="Q168" s="92" t="str">
        <f t="shared" ca="1" si="20"/>
        <v/>
      </c>
      <c r="R168" s="92">
        <f t="shared" ca="1" si="20"/>
        <v>0</v>
      </c>
      <c r="S168" s="92" t="str">
        <f t="shared" ca="1" si="20"/>
        <v/>
      </c>
      <c r="T168" s="92" t="str">
        <f t="shared" ca="1" si="20"/>
        <v/>
      </c>
    </row>
    <row r="169" spans="1:20" s="54" customFormat="1" ht="13.5" customHeight="1">
      <c r="A169" s="45" t="str">
        <f t="shared" ca="1" si="21"/>
        <v/>
      </c>
      <c r="B169" s="45" t="str">
        <f t="shared" ca="1" si="21"/>
        <v/>
      </c>
      <c r="C169" s="45" t="str">
        <f t="shared" ca="1" si="21"/>
        <v/>
      </c>
      <c r="D169" s="92" t="str">
        <f t="shared" ca="1" si="21"/>
        <v/>
      </c>
      <c r="E169" s="92" t="str">
        <f t="shared" ca="1" si="21"/>
        <v/>
      </c>
      <c r="F169" s="92" t="str">
        <f t="shared" ca="1" si="21"/>
        <v/>
      </c>
      <c r="G169" s="92">
        <f t="shared" ca="1" si="21"/>
        <v>0</v>
      </c>
      <c r="H169" s="92">
        <f t="shared" ca="1" si="21"/>
        <v>0</v>
      </c>
      <c r="I169" s="92">
        <f t="shared" ca="1" si="21"/>
        <v>0</v>
      </c>
      <c r="J169" s="45" t="str">
        <f t="shared" ca="1" si="21"/>
        <v/>
      </c>
      <c r="K169" s="45" t="str">
        <f t="shared" ca="1" si="21"/>
        <v/>
      </c>
      <c r="L169" s="45" t="str">
        <f t="shared" ca="1" si="21"/>
        <v/>
      </c>
      <c r="M169" s="45" t="str">
        <f t="shared" ca="1" si="21"/>
        <v/>
      </c>
      <c r="N169" s="45" t="str">
        <f t="shared" ca="1" si="21"/>
        <v/>
      </c>
      <c r="O169" s="45" t="str">
        <f t="shared" ca="1" si="21"/>
        <v/>
      </c>
      <c r="P169" s="92">
        <f t="shared" ca="1" si="21"/>
        <v>0</v>
      </c>
      <c r="Q169" s="92" t="str">
        <f t="shared" ca="1" si="20"/>
        <v/>
      </c>
      <c r="R169" s="92">
        <f t="shared" ca="1" si="20"/>
        <v>0</v>
      </c>
      <c r="S169" s="92" t="str">
        <f t="shared" ca="1" si="20"/>
        <v/>
      </c>
      <c r="T169" s="92" t="str">
        <f t="shared" ca="1" si="20"/>
        <v/>
      </c>
    </row>
    <row r="170" spans="1:20" s="54" customFormat="1" ht="13.5" customHeight="1">
      <c r="A170" s="45" t="str">
        <f t="shared" ca="1" si="21"/>
        <v/>
      </c>
      <c r="B170" s="45" t="str">
        <f t="shared" ca="1" si="21"/>
        <v/>
      </c>
      <c r="C170" s="45" t="str">
        <f t="shared" ca="1" si="21"/>
        <v/>
      </c>
      <c r="D170" s="92" t="str">
        <f t="shared" ca="1" si="21"/>
        <v/>
      </c>
      <c r="E170" s="92" t="str">
        <f t="shared" ca="1" si="21"/>
        <v/>
      </c>
      <c r="F170" s="92" t="str">
        <f t="shared" ca="1" si="21"/>
        <v/>
      </c>
      <c r="G170" s="92">
        <f t="shared" ca="1" si="21"/>
        <v>0</v>
      </c>
      <c r="H170" s="92">
        <f t="shared" ca="1" si="21"/>
        <v>0</v>
      </c>
      <c r="I170" s="92">
        <f t="shared" ca="1" si="21"/>
        <v>0</v>
      </c>
      <c r="J170" s="45" t="str">
        <f t="shared" ca="1" si="21"/>
        <v/>
      </c>
      <c r="K170" s="45" t="str">
        <f t="shared" ca="1" si="21"/>
        <v/>
      </c>
      <c r="L170" s="45" t="str">
        <f t="shared" ca="1" si="21"/>
        <v/>
      </c>
      <c r="M170" s="45" t="str">
        <f t="shared" ca="1" si="21"/>
        <v/>
      </c>
      <c r="N170" s="45" t="str">
        <f t="shared" ca="1" si="21"/>
        <v/>
      </c>
      <c r="O170" s="45" t="str">
        <f t="shared" ca="1" si="21"/>
        <v/>
      </c>
      <c r="P170" s="92">
        <f t="shared" ca="1" si="21"/>
        <v>0</v>
      </c>
      <c r="Q170" s="92" t="str">
        <f t="shared" ca="1" si="20"/>
        <v/>
      </c>
      <c r="R170" s="92">
        <f t="shared" ca="1" si="20"/>
        <v>0</v>
      </c>
      <c r="S170" s="92" t="str">
        <f t="shared" ca="1" si="20"/>
        <v/>
      </c>
      <c r="T170" s="92" t="str">
        <f t="shared" ca="1" si="20"/>
        <v/>
      </c>
    </row>
    <row r="171" spans="1:20" s="54" customFormat="1" ht="13.5" customHeight="1">
      <c r="A171" s="45" t="str">
        <f t="shared" ca="1" si="21"/>
        <v/>
      </c>
      <c r="B171" s="45" t="str">
        <f t="shared" ca="1" si="21"/>
        <v/>
      </c>
      <c r="C171" s="45" t="str">
        <f t="shared" ca="1" si="21"/>
        <v/>
      </c>
      <c r="D171" s="92" t="str">
        <f t="shared" ca="1" si="21"/>
        <v/>
      </c>
      <c r="E171" s="92" t="str">
        <f t="shared" ca="1" si="21"/>
        <v/>
      </c>
      <c r="F171" s="92" t="str">
        <f t="shared" ca="1" si="21"/>
        <v/>
      </c>
      <c r="G171" s="92">
        <f t="shared" ca="1" si="21"/>
        <v>0</v>
      </c>
      <c r="H171" s="92">
        <f t="shared" ca="1" si="21"/>
        <v>0</v>
      </c>
      <c r="I171" s="92">
        <f t="shared" ca="1" si="21"/>
        <v>0</v>
      </c>
      <c r="J171" s="45" t="str">
        <f t="shared" ca="1" si="21"/>
        <v/>
      </c>
      <c r="K171" s="45" t="str">
        <f t="shared" ca="1" si="21"/>
        <v/>
      </c>
      <c r="L171" s="45" t="str">
        <f t="shared" ca="1" si="21"/>
        <v/>
      </c>
      <c r="M171" s="45" t="str">
        <f t="shared" ca="1" si="21"/>
        <v/>
      </c>
      <c r="N171" s="45" t="str">
        <f t="shared" ca="1" si="21"/>
        <v/>
      </c>
      <c r="O171" s="45" t="str">
        <f t="shared" ca="1" si="21"/>
        <v/>
      </c>
      <c r="P171" s="92">
        <f t="shared" ca="1" si="21"/>
        <v>0</v>
      </c>
      <c r="Q171" s="92" t="str">
        <f t="shared" ca="1" si="20"/>
        <v/>
      </c>
      <c r="R171" s="92">
        <f t="shared" ca="1" si="20"/>
        <v>0</v>
      </c>
      <c r="S171" s="92" t="str">
        <f t="shared" ca="1" si="20"/>
        <v/>
      </c>
      <c r="T171" s="92" t="str">
        <f t="shared" ca="1" si="20"/>
        <v/>
      </c>
    </row>
    <row r="172" spans="1:20" s="54" customFormat="1" ht="13.5" customHeight="1">
      <c r="A172" s="45" t="str">
        <f t="shared" ca="1" si="21"/>
        <v/>
      </c>
      <c r="B172" s="45" t="str">
        <f t="shared" ca="1" si="21"/>
        <v/>
      </c>
      <c r="C172" s="45" t="str">
        <f t="shared" ca="1" si="21"/>
        <v/>
      </c>
      <c r="D172" s="92" t="str">
        <f t="shared" ca="1" si="21"/>
        <v/>
      </c>
      <c r="E172" s="92" t="str">
        <f t="shared" ca="1" si="21"/>
        <v/>
      </c>
      <c r="F172" s="92" t="str">
        <f t="shared" ca="1" si="21"/>
        <v/>
      </c>
      <c r="G172" s="92">
        <f t="shared" ca="1" si="21"/>
        <v>0</v>
      </c>
      <c r="H172" s="92">
        <f t="shared" ca="1" si="21"/>
        <v>0</v>
      </c>
      <c r="I172" s="92">
        <f t="shared" ca="1" si="21"/>
        <v>0</v>
      </c>
      <c r="J172" s="45" t="str">
        <f t="shared" ca="1" si="21"/>
        <v/>
      </c>
      <c r="K172" s="45" t="str">
        <f t="shared" ca="1" si="21"/>
        <v/>
      </c>
      <c r="L172" s="45" t="str">
        <f t="shared" ca="1" si="21"/>
        <v/>
      </c>
      <c r="M172" s="45" t="str">
        <f t="shared" ca="1" si="21"/>
        <v/>
      </c>
      <c r="N172" s="45" t="str">
        <f t="shared" ca="1" si="21"/>
        <v/>
      </c>
      <c r="O172" s="45" t="str">
        <f t="shared" ca="1" si="21"/>
        <v/>
      </c>
      <c r="P172" s="92">
        <f t="shared" ref="P172:T187" ca="1" si="22">IF(INDIRECT("제작의뢰서!"&amp;ADDRESS(ROW(),COLUMN()))="","",INDIRECT("제작의뢰서!"&amp;ADDRESS(ROW(),COLUMN())))</f>
        <v>0</v>
      </c>
      <c r="Q172" s="92" t="str">
        <f t="shared" ca="1" si="22"/>
        <v/>
      </c>
      <c r="R172" s="92">
        <f t="shared" ca="1" si="22"/>
        <v>0</v>
      </c>
      <c r="S172" s="92" t="str">
        <f t="shared" ca="1" si="22"/>
        <v/>
      </c>
      <c r="T172" s="92" t="str">
        <f t="shared" ca="1" si="22"/>
        <v/>
      </c>
    </row>
    <row r="173" spans="1:20" s="54" customFormat="1" ht="13.5" customHeight="1">
      <c r="A173" s="45" t="str">
        <f t="shared" ref="A173:P188" ca="1" si="23">IF(INDIRECT("제작의뢰서!"&amp;ADDRESS(ROW(),COLUMN()))="","",INDIRECT("제작의뢰서!"&amp;ADDRESS(ROW(),COLUMN())))</f>
        <v/>
      </c>
      <c r="B173" s="45" t="str">
        <f t="shared" ca="1" si="23"/>
        <v/>
      </c>
      <c r="C173" s="45" t="str">
        <f t="shared" ca="1" si="23"/>
        <v/>
      </c>
      <c r="D173" s="92" t="str">
        <f t="shared" ca="1" si="23"/>
        <v/>
      </c>
      <c r="E173" s="92" t="str">
        <f t="shared" ca="1" si="23"/>
        <v/>
      </c>
      <c r="F173" s="92" t="str">
        <f t="shared" ca="1" si="23"/>
        <v/>
      </c>
      <c r="G173" s="92">
        <f t="shared" ca="1" si="23"/>
        <v>0</v>
      </c>
      <c r="H173" s="92">
        <f t="shared" ca="1" si="23"/>
        <v>0</v>
      </c>
      <c r="I173" s="92">
        <f t="shared" ca="1" si="23"/>
        <v>0</v>
      </c>
      <c r="J173" s="45" t="str">
        <f t="shared" ca="1" si="23"/>
        <v/>
      </c>
      <c r="K173" s="45" t="str">
        <f t="shared" ca="1" si="23"/>
        <v/>
      </c>
      <c r="L173" s="45" t="str">
        <f t="shared" ca="1" si="23"/>
        <v/>
      </c>
      <c r="M173" s="45" t="str">
        <f t="shared" ca="1" si="23"/>
        <v/>
      </c>
      <c r="N173" s="45" t="str">
        <f t="shared" ca="1" si="23"/>
        <v/>
      </c>
      <c r="O173" s="45" t="str">
        <f t="shared" ca="1" si="23"/>
        <v/>
      </c>
      <c r="P173" s="92">
        <f t="shared" ca="1" si="23"/>
        <v>0</v>
      </c>
      <c r="Q173" s="92" t="str">
        <f t="shared" ca="1" si="22"/>
        <v/>
      </c>
      <c r="R173" s="92">
        <f t="shared" ca="1" si="22"/>
        <v>0</v>
      </c>
      <c r="S173" s="92" t="str">
        <f t="shared" ca="1" si="22"/>
        <v/>
      </c>
      <c r="T173" s="92" t="str">
        <f t="shared" ca="1" si="22"/>
        <v/>
      </c>
    </row>
    <row r="174" spans="1:20" s="54" customFormat="1" ht="13.5" customHeight="1">
      <c r="A174" s="45" t="str">
        <f t="shared" ca="1" si="23"/>
        <v/>
      </c>
      <c r="B174" s="45" t="str">
        <f t="shared" ca="1" si="23"/>
        <v/>
      </c>
      <c r="C174" s="45" t="str">
        <f t="shared" ca="1" si="23"/>
        <v/>
      </c>
      <c r="D174" s="92" t="str">
        <f t="shared" ca="1" si="23"/>
        <v/>
      </c>
      <c r="E174" s="92" t="str">
        <f t="shared" ca="1" si="23"/>
        <v/>
      </c>
      <c r="F174" s="92" t="str">
        <f t="shared" ca="1" si="23"/>
        <v/>
      </c>
      <c r="G174" s="92">
        <f t="shared" ca="1" si="23"/>
        <v>0</v>
      </c>
      <c r="H174" s="92">
        <f t="shared" ca="1" si="23"/>
        <v>0</v>
      </c>
      <c r="I174" s="92">
        <f t="shared" ca="1" si="23"/>
        <v>0</v>
      </c>
      <c r="J174" s="45" t="str">
        <f t="shared" ca="1" si="23"/>
        <v/>
      </c>
      <c r="K174" s="45" t="str">
        <f t="shared" ca="1" si="23"/>
        <v/>
      </c>
      <c r="L174" s="45" t="str">
        <f t="shared" ca="1" si="23"/>
        <v/>
      </c>
      <c r="M174" s="45" t="str">
        <f t="shared" ca="1" si="23"/>
        <v/>
      </c>
      <c r="N174" s="45" t="str">
        <f t="shared" ca="1" si="23"/>
        <v/>
      </c>
      <c r="O174" s="45" t="str">
        <f t="shared" ca="1" si="23"/>
        <v/>
      </c>
      <c r="P174" s="92">
        <f t="shared" ca="1" si="23"/>
        <v>0</v>
      </c>
      <c r="Q174" s="92" t="str">
        <f t="shared" ca="1" si="22"/>
        <v/>
      </c>
      <c r="R174" s="92">
        <f t="shared" ca="1" si="22"/>
        <v>0</v>
      </c>
      <c r="S174" s="92" t="str">
        <f t="shared" ca="1" si="22"/>
        <v/>
      </c>
      <c r="T174" s="92" t="str">
        <f t="shared" ca="1" si="22"/>
        <v/>
      </c>
    </row>
    <row r="175" spans="1:20" s="54" customFormat="1" ht="13.5" customHeight="1">
      <c r="A175" s="45" t="str">
        <f t="shared" ca="1" si="23"/>
        <v/>
      </c>
      <c r="B175" s="45" t="str">
        <f t="shared" ca="1" si="23"/>
        <v/>
      </c>
      <c r="C175" s="45" t="str">
        <f t="shared" ca="1" si="23"/>
        <v/>
      </c>
      <c r="D175" s="92" t="str">
        <f t="shared" ca="1" si="23"/>
        <v/>
      </c>
      <c r="E175" s="92" t="str">
        <f t="shared" ca="1" si="23"/>
        <v/>
      </c>
      <c r="F175" s="92" t="str">
        <f t="shared" ca="1" si="23"/>
        <v/>
      </c>
      <c r="G175" s="92">
        <f t="shared" ca="1" si="23"/>
        <v>0</v>
      </c>
      <c r="H175" s="92">
        <f t="shared" ca="1" si="23"/>
        <v>0</v>
      </c>
      <c r="I175" s="92">
        <f t="shared" ca="1" si="23"/>
        <v>0</v>
      </c>
      <c r="J175" s="45" t="str">
        <f t="shared" ca="1" si="23"/>
        <v/>
      </c>
      <c r="K175" s="45" t="str">
        <f t="shared" ca="1" si="23"/>
        <v/>
      </c>
      <c r="L175" s="45" t="str">
        <f t="shared" ca="1" si="23"/>
        <v/>
      </c>
      <c r="M175" s="45" t="str">
        <f t="shared" ca="1" si="23"/>
        <v/>
      </c>
      <c r="N175" s="45" t="str">
        <f t="shared" ca="1" si="23"/>
        <v/>
      </c>
      <c r="O175" s="45" t="str">
        <f t="shared" ca="1" si="23"/>
        <v/>
      </c>
      <c r="P175" s="92">
        <f t="shared" ca="1" si="23"/>
        <v>0</v>
      </c>
      <c r="Q175" s="92" t="str">
        <f t="shared" ca="1" si="22"/>
        <v/>
      </c>
      <c r="R175" s="92">
        <f t="shared" ca="1" si="22"/>
        <v>0</v>
      </c>
      <c r="S175" s="92" t="str">
        <f t="shared" ca="1" si="22"/>
        <v/>
      </c>
      <c r="T175" s="92" t="str">
        <f t="shared" ca="1" si="22"/>
        <v/>
      </c>
    </row>
    <row r="176" spans="1:20" s="54" customFormat="1" ht="13.5" customHeight="1">
      <c r="A176" s="45" t="str">
        <f t="shared" ca="1" si="23"/>
        <v/>
      </c>
      <c r="B176" s="45" t="str">
        <f t="shared" ca="1" si="23"/>
        <v/>
      </c>
      <c r="C176" s="45" t="str">
        <f t="shared" ca="1" si="23"/>
        <v/>
      </c>
      <c r="D176" s="92" t="str">
        <f t="shared" ca="1" si="23"/>
        <v/>
      </c>
      <c r="E176" s="92" t="str">
        <f t="shared" ca="1" si="23"/>
        <v/>
      </c>
      <c r="F176" s="92" t="str">
        <f t="shared" ca="1" si="23"/>
        <v/>
      </c>
      <c r="G176" s="92">
        <f t="shared" ca="1" si="23"/>
        <v>0</v>
      </c>
      <c r="H176" s="92">
        <f t="shared" ca="1" si="23"/>
        <v>0</v>
      </c>
      <c r="I176" s="92">
        <f t="shared" ca="1" si="23"/>
        <v>0</v>
      </c>
      <c r="J176" s="45" t="str">
        <f t="shared" ca="1" si="23"/>
        <v/>
      </c>
      <c r="K176" s="45" t="str">
        <f t="shared" ca="1" si="23"/>
        <v/>
      </c>
      <c r="L176" s="45" t="str">
        <f t="shared" ca="1" si="23"/>
        <v/>
      </c>
      <c r="M176" s="45" t="str">
        <f t="shared" ca="1" si="23"/>
        <v/>
      </c>
      <c r="N176" s="45" t="str">
        <f t="shared" ca="1" si="23"/>
        <v/>
      </c>
      <c r="O176" s="45" t="str">
        <f t="shared" ca="1" si="23"/>
        <v/>
      </c>
      <c r="P176" s="92">
        <f t="shared" ca="1" si="23"/>
        <v>0</v>
      </c>
      <c r="Q176" s="92" t="str">
        <f t="shared" ca="1" si="22"/>
        <v/>
      </c>
      <c r="R176" s="92">
        <f t="shared" ca="1" si="22"/>
        <v>0</v>
      </c>
      <c r="S176" s="92" t="str">
        <f t="shared" ca="1" si="22"/>
        <v/>
      </c>
      <c r="T176" s="92" t="str">
        <f t="shared" ca="1" si="22"/>
        <v/>
      </c>
    </row>
    <row r="177" spans="1:20" s="54" customFormat="1" ht="13.5" customHeight="1">
      <c r="A177" s="45" t="str">
        <f t="shared" ca="1" si="23"/>
        <v/>
      </c>
      <c r="B177" s="45" t="str">
        <f t="shared" ca="1" si="23"/>
        <v/>
      </c>
      <c r="C177" s="45" t="str">
        <f t="shared" ca="1" si="23"/>
        <v/>
      </c>
      <c r="D177" s="92" t="str">
        <f t="shared" ca="1" si="23"/>
        <v/>
      </c>
      <c r="E177" s="92" t="str">
        <f t="shared" ca="1" si="23"/>
        <v/>
      </c>
      <c r="F177" s="92" t="str">
        <f t="shared" ca="1" si="23"/>
        <v/>
      </c>
      <c r="G177" s="92">
        <f t="shared" ca="1" si="23"/>
        <v>0</v>
      </c>
      <c r="H177" s="92">
        <f t="shared" ca="1" si="23"/>
        <v>0</v>
      </c>
      <c r="I177" s="92">
        <f t="shared" ca="1" si="23"/>
        <v>0</v>
      </c>
      <c r="J177" s="45" t="str">
        <f t="shared" ca="1" si="23"/>
        <v/>
      </c>
      <c r="K177" s="45" t="str">
        <f t="shared" ca="1" si="23"/>
        <v/>
      </c>
      <c r="L177" s="45" t="str">
        <f t="shared" ca="1" si="23"/>
        <v/>
      </c>
      <c r="M177" s="45" t="str">
        <f t="shared" ca="1" si="23"/>
        <v/>
      </c>
      <c r="N177" s="45" t="str">
        <f t="shared" ca="1" si="23"/>
        <v/>
      </c>
      <c r="O177" s="45" t="str">
        <f t="shared" ca="1" si="23"/>
        <v/>
      </c>
      <c r="P177" s="92">
        <f t="shared" ca="1" si="23"/>
        <v>0</v>
      </c>
      <c r="Q177" s="92" t="str">
        <f t="shared" ca="1" si="22"/>
        <v/>
      </c>
      <c r="R177" s="92">
        <f t="shared" ca="1" si="22"/>
        <v>0</v>
      </c>
      <c r="S177" s="92" t="str">
        <f t="shared" ca="1" si="22"/>
        <v/>
      </c>
      <c r="T177" s="92" t="str">
        <f t="shared" ca="1" si="22"/>
        <v/>
      </c>
    </row>
    <row r="178" spans="1:20" s="54" customFormat="1" ht="13.5" customHeight="1">
      <c r="A178" s="45" t="str">
        <f t="shared" ca="1" si="23"/>
        <v/>
      </c>
      <c r="B178" s="45" t="str">
        <f t="shared" ca="1" si="23"/>
        <v/>
      </c>
      <c r="C178" s="45" t="str">
        <f t="shared" ca="1" si="23"/>
        <v/>
      </c>
      <c r="D178" s="92" t="str">
        <f t="shared" ca="1" si="23"/>
        <v/>
      </c>
      <c r="E178" s="92" t="str">
        <f t="shared" ca="1" si="23"/>
        <v/>
      </c>
      <c r="F178" s="92" t="str">
        <f t="shared" ca="1" si="23"/>
        <v/>
      </c>
      <c r="G178" s="92">
        <f t="shared" ca="1" si="23"/>
        <v>0</v>
      </c>
      <c r="H178" s="92">
        <f t="shared" ca="1" si="23"/>
        <v>0</v>
      </c>
      <c r="I178" s="92">
        <f t="shared" ca="1" si="23"/>
        <v>0</v>
      </c>
      <c r="J178" s="45" t="str">
        <f t="shared" ca="1" si="23"/>
        <v/>
      </c>
      <c r="K178" s="45" t="str">
        <f t="shared" ca="1" si="23"/>
        <v/>
      </c>
      <c r="L178" s="45" t="str">
        <f t="shared" ca="1" si="23"/>
        <v/>
      </c>
      <c r="M178" s="45" t="str">
        <f t="shared" ca="1" si="23"/>
        <v/>
      </c>
      <c r="N178" s="45" t="str">
        <f t="shared" ca="1" si="23"/>
        <v/>
      </c>
      <c r="O178" s="45" t="str">
        <f t="shared" ca="1" si="23"/>
        <v/>
      </c>
      <c r="P178" s="92">
        <f t="shared" ca="1" si="23"/>
        <v>0</v>
      </c>
      <c r="Q178" s="92" t="str">
        <f t="shared" ca="1" si="22"/>
        <v/>
      </c>
      <c r="R178" s="92">
        <f t="shared" ca="1" si="22"/>
        <v>0</v>
      </c>
      <c r="S178" s="92" t="str">
        <f t="shared" ca="1" si="22"/>
        <v/>
      </c>
      <c r="T178" s="92" t="str">
        <f t="shared" ca="1" si="22"/>
        <v/>
      </c>
    </row>
    <row r="179" spans="1:20" s="54" customFormat="1" ht="13.5" customHeight="1">
      <c r="A179" s="45" t="str">
        <f t="shared" ca="1" si="23"/>
        <v/>
      </c>
      <c r="B179" s="45" t="str">
        <f t="shared" ca="1" si="23"/>
        <v/>
      </c>
      <c r="C179" s="45" t="str">
        <f t="shared" ca="1" si="23"/>
        <v/>
      </c>
      <c r="D179" s="92" t="str">
        <f t="shared" ca="1" si="23"/>
        <v/>
      </c>
      <c r="E179" s="92" t="str">
        <f t="shared" ca="1" si="23"/>
        <v/>
      </c>
      <c r="F179" s="92" t="str">
        <f t="shared" ca="1" si="23"/>
        <v/>
      </c>
      <c r="G179" s="92">
        <f t="shared" ca="1" si="23"/>
        <v>0</v>
      </c>
      <c r="H179" s="92">
        <f t="shared" ca="1" si="23"/>
        <v>0</v>
      </c>
      <c r="I179" s="92">
        <f t="shared" ca="1" si="23"/>
        <v>0</v>
      </c>
      <c r="J179" s="45" t="str">
        <f t="shared" ca="1" si="23"/>
        <v/>
      </c>
      <c r="K179" s="45" t="str">
        <f t="shared" ca="1" si="23"/>
        <v/>
      </c>
      <c r="L179" s="45" t="str">
        <f t="shared" ca="1" si="23"/>
        <v/>
      </c>
      <c r="M179" s="45" t="str">
        <f t="shared" ca="1" si="23"/>
        <v/>
      </c>
      <c r="N179" s="45" t="str">
        <f t="shared" ca="1" si="23"/>
        <v/>
      </c>
      <c r="O179" s="45" t="str">
        <f t="shared" ca="1" si="23"/>
        <v/>
      </c>
      <c r="P179" s="92">
        <f t="shared" ca="1" si="23"/>
        <v>0</v>
      </c>
      <c r="Q179" s="92" t="str">
        <f t="shared" ca="1" si="22"/>
        <v/>
      </c>
      <c r="R179" s="92">
        <f t="shared" ca="1" si="22"/>
        <v>0</v>
      </c>
      <c r="S179" s="92" t="str">
        <f t="shared" ca="1" si="22"/>
        <v/>
      </c>
      <c r="T179" s="92" t="str">
        <f t="shared" ca="1" si="22"/>
        <v/>
      </c>
    </row>
    <row r="180" spans="1:20" s="54" customFormat="1" ht="13.5" customHeight="1">
      <c r="A180" s="45" t="str">
        <f t="shared" ca="1" si="23"/>
        <v/>
      </c>
      <c r="B180" s="45" t="str">
        <f t="shared" ca="1" si="23"/>
        <v/>
      </c>
      <c r="C180" s="45" t="str">
        <f t="shared" ca="1" si="23"/>
        <v/>
      </c>
      <c r="D180" s="92" t="str">
        <f t="shared" ca="1" si="23"/>
        <v/>
      </c>
      <c r="E180" s="92" t="str">
        <f t="shared" ca="1" si="23"/>
        <v/>
      </c>
      <c r="F180" s="92" t="str">
        <f t="shared" ca="1" si="23"/>
        <v/>
      </c>
      <c r="G180" s="92">
        <f t="shared" ca="1" si="23"/>
        <v>0</v>
      </c>
      <c r="H180" s="92">
        <f t="shared" ca="1" si="23"/>
        <v>0</v>
      </c>
      <c r="I180" s="92">
        <f t="shared" ca="1" si="23"/>
        <v>0</v>
      </c>
      <c r="J180" s="45" t="str">
        <f t="shared" ca="1" si="23"/>
        <v/>
      </c>
      <c r="K180" s="45" t="str">
        <f t="shared" ca="1" si="23"/>
        <v/>
      </c>
      <c r="L180" s="45" t="str">
        <f t="shared" ca="1" si="23"/>
        <v/>
      </c>
      <c r="M180" s="45" t="str">
        <f t="shared" ca="1" si="23"/>
        <v/>
      </c>
      <c r="N180" s="45" t="str">
        <f t="shared" ca="1" si="23"/>
        <v/>
      </c>
      <c r="O180" s="45" t="str">
        <f t="shared" ca="1" si="23"/>
        <v/>
      </c>
      <c r="P180" s="92">
        <f t="shared" ca="1" si="23"/>
        <v>0</v>
      </c>
      <c r="Q180" s="92" t="str">
        <f t="shared" ca="1" si="22"/>
        <v/>
      </c>
      <c r="R180" s="92">
        <f t="shared" ca="1" si="22"/>
        <v>0</v>
      </c>
      <c r="S180" s="92" t="str">
        <f t="shared" ca="1" si="22"/>
        <v/>
      </c>
      <c r="T180" s="92" t="str">
        <f t="shared" ca="1" si="22"/>
        <v/>
      </c>
    </row>
    <row r="181" spans="1:20" s="54" customFormat="1" ht="13.5" customHeight="1">
      <c r="A181" s="45" t="str">
        <f t="shared" ca="1" si="23"/>
        <v/>
      </c>
      <c r="B181" s="45" t="str">
        <f t="shared" ca="1" si="23"/>
        <v/>
      </c>
      <c r="C181" s="45" t="str">
        <f t="shared" ca="1" si="23"/>
        <v/>
      </c>
      <c r="D181" s="92" t="str">
        <f t="shared" ca="1" si="23"/>
        <v/>
      </c>
      <c r="E181" s="92" t="str">
        <f t="shared" ca="1" si="23"/>
        <v/>
      </c>
      <c r="F181" s="92" t="str">
        <f t="shared" ca="1" si="23"/>
        <v/>
      </c>
      <c r="G181" s="92">
        <f t="shared" ca="1" si="23"/>
        <v>0</v>
      </c>
      <c r="H181" s="92">
        <f t="shared" ca="1" si="23"/>
        <v>0</v>
      </c>
      <c r="I181" s="92">
        <f t="shared" ca="1" si="23"/>
        <v>0</v>
      </c>
      <c r="J181" s="45" t="str">
        <f t="shared" ca="1" si="23"/>
        <v/>
      </c>
      <c r="K181" s="45" t="str">
        <f t="shared" ca="1" si="23"/>
        <v/>
      </c>
      <c r="L181" s="45" t="str">
        <f t="shared" ca="1" si="23"/>
        <v/>
      </c>
      <c r="M181" s="45" t="str">
        <f t="shared" ca="1" si="23"/>
        <v/>
      </c>
      <c r="N181" s="45" t="str">
        <f t="shared" ca="1" si="23"/>
        <v/>
      </c>
      <c r="O181" s="45" t="str">
        <f t="shared" ca="1" si="23"/>
        <v/>
      </c>
      <c r="P181" s="92">
        <f t="shared" ca="1" si="23"/>
        <v>0</v>
      </c>
      <c r="Q181" s="92" t="str">
        <f t="shared" ca="1" si="22"/>
        <v/>
      </c>
      <c r="R181" s="92">
        <f t="shared" ca="1" si="22"/>
        <v>0</v>
      </c>
      <c r="S181" s="92" t="str">
        <f t="shared" ca="1" si="22"/>
        <v/>
      </c>
      <c r="T181" s="92" t="str">
        <f t="shared" ca="1" si="22"/>
        <v/>
      </c>
    </row>
    <row r="182" spans="1:20" s="54" customFormat="1" ht="13.5" customHeight="1">
      <c r="A182" s="45" t="str">
        <f t="shared" ca="1" si="23"/>
        <v/>
      </c>
      <c r="B182" s="45" t="str">
        <f t="shared" ca="1" si="23"/>
        <v/>
      </c>
      <c r="C182" s="45" t="str">
        <f t="shared" ca="1" si="23"/>
        <v/>
      </c>
      <c r="D182" s="92" t="str">
        <f t="shared" ca="1" si="23"/>
        <v/>
      </c>
      <c r="E182" s="92" t="str">
        <f t="shared" ca="1" si="23"/>
        <v/>
      </c>
      <c r="F182" s="92" t="str">
        <f t="shared" ca="1" si="23"/>
        <v/>
      </c>
      <c r="G182" s="92">
        <f t="shared" ca="1" si="23"/>
        <v>0</v>
      </c>
      <c r="H182" s="92">
        <f t="shared" ca="1" si="23"/>
        <v>0</v>
      </c>
      <c r="I182" s="92">
        <f t="shared" ca="1" si="23"/>
        <v>0</v>
      </c>
      <c r="J182" s="45" t="str">
        <f t="shared" ca="1" si="23"/>
        <v/>
      </c>
      <c r="K182" s="45" t="str">
        <f t="shared" ca="1" si="23"/>
        <v/>
      </c>
      <c r="L182" s="45" t="str">
        <f t="shared" ca="1" si="23"/>
        <v/>
      </c>
      <c r="M182" s="45" t="str">
        <f t="shared" ca="1" si="23"/>
        <v/>
      </c>
      <c r="N182" s="45" t="str">
        <f t="shared" ca="1" si="23"/>
        <v/>
      </c>
      <c r="O182" s="45" t="str">
        <f t="shared" ca="1" si="23"/>
        <v/>
      </c>
      <c r="P182" s="92">
        <f t="shared" ca="1" si="23"/>
        <v>0</v>
      </c>
      <c r="Q182" s="92" t="str">
        <f t="shared" ca="1" si="22"/>
        <v/>
      </c>
      <c r="R182" s="92">
        <f t="shared" ca="1" si="22"/>
        <v>0</v>
      </c>
      <c r="S182" s="92" t="str">
        <f t="shared" ca="1" si="22"/>
        <v/>
      </c>
      <c r="T182" s="92" t="str">
        <f t="shared" ca="1" si="22"/>
        <v/>
      </c>
    </row>
    <row r="183" spans="1:20" s="54" customFormat="1" ht="13.5" customHeight="1">
      <c r="A183" s="45" t="str">
        <f t="shared" ca="1" si="23"/>
        <v/>
      </c>
      <c r="B183" s="45" t="str">
        <f t="shared" ca="1" si="23"/>
        <v/>
      </c>
      <c r="C183" s="45" t="str">
        <f t="shared" ca="1" si="23"/>
        <v/>
      </c>
      <c r="D183" s="92" t="str">
        <f t="shared" ca="1" si="23"/>
        <v/>
      </c>
      <c r="E183" s="92" t="str">
        <f t="shared" ca="1" si="23"/>
        <v/>
      </c>
      <c r="F183" s="92" t="str">
        <f t="shared" ca="1" si="23"/>
        <v/>
      </c>
      <c r="G183" s="92">
        <f t="shared" ca="1" si="23"/>
        <v>0</v>
      </c>
      <c r="H183" s="92">
        <f t="shared" ca="1" si="23"/>
        <v>0</v>
      </c>
      <c r="I183" s="92">
        <f t="shared" ca="1" si="23"/>
        <v>0</v>
      </c>
      <c r="J183" s="45" t="str">
        <f t="shared" ca="1" si="23"/>
        <v/>
      </c>
      <c r="K183" s="45" t="str">
        <f t="shared" ca="1" si="23"/>
        <v/>
      </c>
      <c r="L183" s="45" t="str">
        <f t="shared" ca="1" si="23"/>
        <v/>
      </c>
      <c r="M183" s="45" t="str">
        <f t="shared" ca="1" si="23"/>
        <v/>
      </c>
      <c r="N183" s="45" t="str">
        <f t="shared" ca="1" si="23"/>
        <v/>
      </c>
      <c r="O183" s="45" t="str">
        <f t="shared" ca="1" si="23"/>
        <v/>
      </c>
      <c r="P183" s="92">
        <f t="shared" ca="1" si="23"/>
        <v>0</v>
      </c>
      <c r="Q183" s="92" t="str">
        <f t="shared" ca="1" si="22"/>
        <v/>
      </c>
      <c r="R183" s="92">
        <f t="shared" ca="1" si="22"/>
        <v>0</v>
      </c>
      <c r="S183" s="92" t="str">
        <f t="shared" ca="1" si="22"/>
        <v/>
      </c>
      <c r="T183" s="92" t="str">
        <f t="shared" ca="1" si="22"/>
        <v/>
      </c>
    </row>
    <row r="184" spans="1:20" s="54" customFormat="1" ht="13.5" customHeight="1">
      <c r="A184" s="45" t="str">
        <f t="shared" ca="1" si="23"/>
        <v/>
      </c>
      <c r="B184" s="45" t="str">
        <f t="shared" ca="1" si="23"/>
        <v/>
      </c>
      <c r="C184" s="45" t="str">
        <f t="shared" ca="1" si="23"/>
        <v/>
      </c>
      <c r="D184" s="92" t="str">
        <f t="shared" ca="1" si="23"/>
        <v/>
      </c>
      <c r="E184" s="92" t="str">
        <f t="shared" ca="1" si="23"/>
        <v/>
      </c>
      <c r="F184" s="92" t="str">
        <f t="shared" ca="1" si="23"/>
        <v/>
      </c>
      <c r="G184" s="92">
        <f t="shared" ca="1" si="23"/>
        <v>0</v>
      </c>
      <c r="H184" s="92">
        <f t="shared" ca="1" si="23"/>
        <v>0</v>
      </c>
      <c r="I184" s="92">
        <f t="shared" ca="1" si="23"/>
        <v>0</v>
      </c>
      <c r="J184" s="45" t="str">
        <f t="shared" ca="1" si="23"/>
        <v/>
      </c>
      <c r="K184" s="45" t="str">
        <f t="shared" ca="1" si="23"/>
        <v/>
      </c>
      <c r="L184" s="45" t="str">
        <f t="shared" ca="1" si="23"/>
        <v/>
      </c>
      <c r="M184" s="45" t="str">
        <f t="shared" ca="1" si="23"/>
        <v/>
      </c>
      <c r="N184" s="45" t="str">
        <f t="shared" ca="1" si="23"/>
        <v/>
      </c>
      <c r="O184" s="45" t="str">
        <f t="shared" ca="1" si="23"/>
        <v/>
      </c>
      <c r="P184" s="92">
        <f t="shared" ca="1" si="23"/>
        <v>0</v>
      </c>
      <c r="Q184" s="92" t="str">
        <f t="shared" ca="1" si="22"/>
        <v/>
      </c>
      <c r="R184" s="92">
        <f t="shared" ca="1" si="22"/>
        <v>0</v>
      </c>
      <c r="S184" s="92" t="str">
        <f t="shared" ca="1" si="22"/>
        <v/>
      </c>
      <c r="T184" s="92" t="str">
        <f t="shared" ca="1" si="22"/>
        <v/>
      </c>
    </row>
    <row r="185" spans="1:20" s="54" customFormat="1" ht="13.5" customHeight="1">
      <c r="A185" s="45" t="str">
        <f t="shared" ca="1" si="23"/>
        <v/>
      </c>
      <c r="B185" s="45" t="str">
        <f t="shared" ca="1" si="23"/>
        <v/>
      </c>
      <c r="C185" s="45" t="str">
        <f t="shared" ca="1" si="23"/>
        <v/>
      </c>
      <c r="D185" s="92" t="str">
        <f t="shared" ca="1" si="23"/>
        <v/>
      </c>
      <c r="E185" s="92" t="str">
        <f t="shared" ca="1" si="23"/>
        <v/>
      </c>
      <c r="F185" s="92" t="str">
        <f t="shared" ca="1" si="23"/>
        <v/>
      </c>
      <c r="G185" s="92">
        <f t="shared" ca="1" si="23"/>
        <v>0</v>
      </c>
      <c r="H185" s="92">
        <f t="shared" ca="1" si="23"/>
        <v>0</v>
      </c>
      <c r="I185" s="92">
        <f t="shared" ca="1" si="23"/>
        <v>0</v>
      </c>
      <c r="J185" s="45" t="str">
        <f t="shared" ca="1" si="23"/>
        <v/>
      </c>
      <c r="K185" s="45" t="str">
        <f t="shared" ca="1" si="23"/>
        <v/>
      </c>
      <c r="L185" s="45" t="str">
        <f t="shared" ca="1" si="23"/>
        <v/>
      </c>
      <c r="M185" s="45" t="str">
        <f t="shared" ca="1" si="23"/>
        <v/>
      </c>
      <c r="N185" s="45" t="str">
        <f t="shared" ca="1" si="23"/>
        <v/>
      </c>
      <c r="O185" s="45" t="str">
        <f t="shared" ca="1" si="23"/>
        <v/>
      </c>
      <c r="P185" s="92">
        <f t="shared" ca="1" si="23"/>
        <v>0</v>
      </c>
      <c r="Q185" s="92" t="str">
        <f t="shared" ca="1" si="22"/>
        <v/>
      </c>
      <c r="R185" s="92">
        <f t="shared" ca="1" si="22"/>
        <v>0</v>
      </c>
      <c r="S185" s="92" t="str">
        <f t="shared" ca="1" si="22"/>
        <v/>
      </c>
      <c r="T185" s="92" t="str">
        <f t="shared" ca="1" si="22"/>
        <v/>
      </c>
    </row>
    <row r="186" spans="1:20" s="54" customFormat="1" ht="13.5" customHeight="1">
      <c r="A186" s="45" t="str">
        <f t="shared" ca="1" si="23"/>
        <v/>
      </c>
      <c r="B186" s="45" t="str">
        <f t="shared" ca="1" si="23"/>
        <v/>
      </c>
      <c r="C186" s="45" t="str">
        <f t="shared" ca="1" si="23"/>
        <v/>
      </c>
      <c r="D186" s="92" t="str">
        <f t="shared" ca="1" si="23"/>
        <v/>
      </c>
      <c r="E186" s="92" t="str">
        <f t="shared" ca="1" si="23"/>
        <v/>
      </c>
      <c r="F186" s="92" t="str">
        <f t="shared" ca="1" si="23"/>
        <v/>
      </c>
      <c r="G186" s="92">
        <f t="shared" ca="1" si="23"/>
        <v>0</v>
      </c>
      <c r="H186" s="92">
        <f t="shared" ca="1" si="23"/>
        <v>0</v>
      </c>
      <c r="I186" s="92">
        <f t="shared" ca="1" si="23"/>
        <v>0</v>
      </c>
      <c r="J186" s="45" t="str">
        <f t="shared" ca="1" si="23"/>
        <v/>
      </c>
      <c r="K186" s="45" t="str">
        <f t="shared" ca="1" si="23"/>
        <v/>
      </c>
      <c r="L186" s="45" t="str">
        <f t="shared" ca="1" si="23"/>
        <v/>
      </c>
      <c r="M186" s="45" t="str">
        <f t="shared" ca="1" si="23"/>
        <v/>
      </c>
      <c r="N186" s="45" t="str">
        <f t="shared" ca="1" si="23"/>
        <v/>
      </c>
      <c r="O186" s="45" t="str">
        <f t="shared" ca="1" si="23"/>
        <v/>
      </c>
      <c r="P186" s="92">
        <f t="shared" ca="1" si="23"/>
        <v>0</v>
      </c>
      <c r="Q186" s="92" t="str">
        <f t="shared" ca="1" si="22"/>
        <v/>
      </c>
      <c r="R186" s="92">
        <f t="shared" ca="1" si="22"/>
        <v>0</v>
      </c>
      <c r="S186" s="92" t="str">
        <f t="shared" ca="1" si="22"/>
        <v/>
      </c>
      <c r="T186" s="92" t="str">
        <f t="shared" ca="1" si="22"/>
        <v/>
      </c>
    </row>
    <row r="187" spans="1:20" s="54" customFormat="1" ht="13.5" customHeight="1">
      <c r="A187" s="45" t="str">
        <f t="shared" ca="1" si="23"/>
        <v/>
      </c>
      <c r="B187" s="45" t="str">
        <f t="shared" ca="1" si="23"/>
        <v/>
      </c>
      <c r="C187" s="45" t="str">
        <f t="shared" ca="1" si="23"/>
        <v/>
      </c>
      <c r="D187" s="92" t="str">
        <f t="shared" ca="1" si="23"/>
        <v/>
      </c>
      <c r="E187" s="92" t="str">
        <f t="shared" ca="1" si="23"/>
        <v/>
      </c>
      <c r="F187" s="92" t="str">
        <f t="shared" ca="1" si="23"/>
        <v/>
      </c>
      <c r="G187" s="92">
        <f t="shared" ca="1" si="23"/>
        <v>0</v>
      </c>
      <c r="H187" s="92">
        <f t="shared" ca="1" si="23"/>
        <v>0</v>
      </c>
      <c r="I187" s="92">
        <f t="shared" ca="1" si="23"/>
        <v>0</v>
      </c>
      <c r="J187" s="45" t="str">
        <f t="shared" ca="1" si="23"/>
        <v/>
      </c>
      <c r="K187" s="45" t="str">
        <f t="shared" ca="1" si="23"/>
        <v/>
      </c>
      <c r="L187" s="45" t="str">
        <f t="shared" ca="1" si="23"/>
        <v/>
      </c>
      <c r="M187" s="45" t="str">
        <f t="shared" ca="1" si="23"/>
        <v/>
      </c>
      <c r="N187" s="45" t="str">
        <f t="shared" ca="1" si="23"/>
        <v/>
      </c>
      <c r="O187" s="45" t="str">
        <f t="shared" ca="1" si="23"/>
        <v/>
      </c>
      <c r="P187" s="92">
        <f t="shared" ca="1" si="23"/>
        <v>0</v>
      </c>
      <c r="Q187" s="92" t="str">
        <f t="shared" ca="1" si="22"/>
        <v/>
      </c>
      <c r="R187" s="92">
        <f t="shared" ca="1" si="22"/>
        <v>0</v>
      </c>
      <c r="S187" s="92" t="str">
        <f t="shared" ca="1" si="22"/>
        <v/>
      </c>
      <c r="T187" s="92" t="str">
        <f t="shared" ca="1" si="22"/>
        <v/>
      </c>
    </row>
    <row r="188" spans="1:20" s="54" customFormat="1" ht="13.5" customHeight="1">
      <c r="A188" s="45" t="str">
        <f t="shared" ca="1" si="23"/>
        <v/>
      </c>
      <c r="B188" s="45" t="str">
        <f t="shared" ca="1" si="23"/>
        <v/>
      </c>
      <c r="C188" s="45" t="str">
        <f t="shared" ca="1" si="23"/>
        <v/>
      </c>
      <c r="D188" s="92" t="str">
        <f t="shared" ca="1" si="23"/>
        <v/>
      </c>
      <c r="E188" s="92" t="str">
        <f t="shared" ca="1" si="23"/>
        <v/>
      </c>
      <c r="F188" s="92" t="str">
        <f t="shared" ca="1" si="23"/>
        <v/>
      </c>
      <c r="G188" s="92">
        <f t="shared" ca="1" si="23"/>
        <v>0</v>
      </c>
      <c r="H188" s="92">
        <f t="shared" ca="1" si="23"/>
        <v>0</v>
      </c>
      <c r="I188" s="92">
        <f t="shared" ca="1" si="23"/>
        <v>0</v>
      </c>
      <c r="J188" s="45" t="str">
        <f t="shared" ca="1" si="23"/>
        <v/>
      </c>
      <c r="K188" s="45" t="str">
        <f t="shared" ca="1" si="23"/>
        <v/>
      </c>
      <c r="L188" s="45" t="str">
        <f t="shared" ca="1" si="23"/>
        <v/>
      </c>
      <c r="M188" s="45" t="str">
        <f t="shared" ca="1" si="23"/>
        <v/>
      </c>
      <c r="N188" s="45" t="str">
        <f t="shared" ca="1" si="23"/>
        <v/>
      </c>
      <c r="O188" s="45" t="str">
        <f t="shared" ca="1" si="23"/>
        <v/>
      </c>
      <c r="P188" s="92">
        <f t="shared" ref="P188:T203" ca="1" si="24">IF(INDIRECT("제작의뢰서!"&amp;ADDRESS(ROW(),COLUMN()))="","",INDIRECT("제작의뢰서!"&amp;ADDRESS(ROW(),COLUMN())))</f>
        <v>0</v>
      </c>
      <c r="Q188" s="92" t="str">
        <f t="shared" ca="1" si="24"/>
        <v/>
      </c>
      <c r="R188" s="92">
        <f t="shared" ca="1" si="24"/>
        <v>0</v>
      </c>
      <c r="S188" s="92" t="str">
        <f t="shared" ca="1" si="24"/>
        <v/>
      </c>
      <c r="T188" s="92" t="str">
        <f t="shared" ca="1" si="24"/>
        <v/>
      </c>
    </row>
    <row r="189" spans="1:20" s="54" customFormat="1" ht="13.5" customHeight="1">
      <c r="A189" s="45" t="str">
        <f t="shared" ref="A189:P204" ca="1" si="25">IF(INDIRECT("제작의뢰서!"&amp;ADDRESS(ROW(),COLUMN()))="","",INDIRECT("제작의뢰서!"&amp;ADDRESS(ROW(),COLUMN())))</f>
        <v/>
      </c>
      <c r="B189" s="45" t="str">
        <f t="shared" ca="1" si="25"/>
        <v/>
      </c>
      <c r="C189" s="45" t="str">
        <f t="shared" ca="1" si="25"/>
        <v/>
      </c>
      <c r="D189" s="92" t="str">
        <f t="shared" ca="1" si="25"/>
        <v/>
      </c>
      <c r="E189" s="92" t="str">
        <f t="shared" ca="1" si="25"/>
        <v/>
      </c>
      <c r="F189" s="92" t="str">
        <f t="shared" ca="1" si="25"/>
        <v/>
      </c>
      <c r="G189" s="92">
        <f t="shared" ca="1" si="25"/>
        <v>0</v>
      </c>
      <c r="H189" s="92">
        <f t="shared" ca="1" si="25"/>
        <v>0</v>
      </c>
      <c r="I189" s="92">
        <f t="shared" ca="1" si="25"/>
        <v>0</v>
      </c>
      <c r="J189" s="45" t="str">
        <f t="shared" ca="1" si="25"/>
        <v/>
      </c>
      <c r="K189" s="45" t="str">
        <f t="shared" ca="1" si="25"/>
        <v/>
      </c>
      <c r="L189" s="45" t="str">
        <f t="shared" ca="1" si="25"/>
        <v/>
      </c>
      <c r="M189" s="45" t="str">
        <f t="shared" ca="1" si="25"/>
        <v/>
      </c>
      <c r="N189" s="45" t="str">
        <f t="shared" ca="1" si="25"/>
        <v/>
      </c>
      <c r="O189" s="45" t="str">
        <f t="shared" ca="1" si="25"/>
        <v/>
      </c>
      <c r="P189" s="92">
        <f t="shared" ca="1" si="25"/>
        <v>0</v>
      </c>
      <c r="Q189" s="92" t="str">
        <f t="shared" ca="1" si="24"/>
        <v/>
      </c>
      <c r="R189" s="92">
        <f t="shared" ca="1" si="24"/>
        <v>0</v>
      </c>
      <c r="S189" s="92" t="str">
        <f t="shared" ca="1" si="24"/>
        <v/>
      </c>
      <c r="T189" s="92" t="str">
        <f t="shared" ca="1" si="24"/>
        <v/>
      </c>
    </row>
    <row r="190" spans="1:20" s="54" customFormat="1" ht="13.5" customHeight="1">
      <c r="A190" s="45" t="str">
        <f t="shared" ca="1" si="25"/>
        <v/>
      </c>
      <c r="B190" s="45" t="str">
        <f t="shared" ca="1" si="25"/>
        <v/>
      </c>
      <c r="C190" s="45" t="str">
        <f t="shared" ca="1" si="25"/>
        <v/>
      </c>
      <c r="D190" s="92" t="str">
        <f t="shared" ca="1" si="25"/>
        <v/>
      </c>
      <c r="E190" s="92" t="str">
        <f t="shared" ca="1" si="25"/>
        <v/>
      </c>
      <c r="F190" s="92" t="str">
        <f t="shared" ca="1" si="25"/>
        <v/>
      </c>
      <c r="G190" s="92">
        <f t="shared" ca="1" si="25"/>
        <v>0</v>
      </c>
      <c r="H190" s="92">
        <f t="shared" ca="1" si="25"/>
        <v>0</v>
      </c>
      <c r="I190" s="92">
        <f t="shared" ca="1" si="25"/>
        <v>0</v>
      </c>
      <c r="J190" s="45" t="str">
        <f t="shared" ca="1" si="25"/>
        <v/>
      </c>
      <c r="K190" s="45" t="str">
        <f t="shared" ca="1" si="25"/>
        <v/>
      </c>
      <c r="L190" s="45" t="str">
        <f t="shared" ca="1" si="25"/>
        <v/>
      </c>
      <c r="M190" s="45" t="str">
        <f t="shared" ca="1" si="25"/>
        <v/>
      </c>
      <c r="N190" s="45" t="str">
        <f t="shared" ca="1" si="25"/>
        <v/>
      </c>
      <c r="O190" s="45" t="str">
        <f t="shared" ca="1" si="25"/>
        <v/>
      </c>
      <c r="P190" s="92">
        <f t="shared" ca="1" si="25"/>
        <v>0</v>
      </c>
      <c r="Q190" s="92" t="str">
        <f t="shared" ca="1" si="24"/>
        <v/>
      </c>
      <c r="R190" s="92">
        <f t="shared" ca="1" si="24"/>
        <v>0</v>
      </c>
      <c r="S190" s="92" t="str">
        <f t="shared" ca="1" si="24"/>
        <v/>
      </c>
      <c r="T190" s="92" t="str">
        <f t="shared" ca="1" si="24"/>
        <v/>
      </c>
    </row>
    <row r="191" spans="1:20" s="54" customFormat="1" ht="13.5" customHeight="1">
      <c r="A191" s="45" t="str">
        <f t="shared" ca="1" si="25"/>
        <v/>
      </c>
      <c r="B191" s="45" t="str">
        <f t="shared" ca="1" si="25"/>
        <v/>
      </c>
      <c r="C191" s="45" t="str">
        <f t="shared" ca="1" si="25"/>
        <v/>
      </c>
      <c r="D191" s="92" t="str">
        <f t="shared" ca="1" si="25"/>
        <v/>
      </c>
      <c r="E191" s="92" t="str">
        <f t="shared" ca="1" si="25"/>
        <v/>
      </c>
      <c r="F191" s="92" t="str">
        <f t="shared" ca="1" si="25"/>
        <v/>
      </c>
      <c r="G191" s="92">
        <f t="shared" ca="1" si="25"/>
        <v>0</v>
      </c>
      <c r="H191" s="92">
        <f t="shared" ca="1" si="25"/>
        <v>0</v>
      </c>
      <c r="I191" s="92">
        <f t="shared" ca="1" si="25"/>
        <v>0</v>
      </c>
      <c r="J191" s="45" t="str">
        <f t="shared" ca="1" si="25"/>
        <v/>
      </c>
      <c r="K191" s="45" t="str">
        <f t="shared" ca="1" si="25"/>
        <v/>
      </c>
      <c r="L191" s="45" t="str">
        <f t="shared" ca="1" si="25"/>
        <v/>
      </c>
      <c r="M191" s="45" t="str">
        <f t="shared" ca="1" si="25"/>
        <v/>
      </c>
      <c r="N191" s="45" t="str">
        <f t="shared" ca="1" si="25"/>
        <v/>
      </c>
      <c r="O191" s="45" t="str">
        <f t="shared" ca="1" si="25"/>
        <v/>
      </c>
      <c r="P191" s="92">
        <f t="shared" ca="1" si="25"/>
        <v>0</v>
      </c>
      <c r="Q191" s="92" t="str">
        <f t="shared" ca="1" si="24"/>
        <v/>
      </c>
      <c r="R191" s="92">
        <f t="shared" ca="1" si="24"/>
        <v>0</v>
      </c>
      <c r="S191" s="92" t="str">
        <f t="shared" ca="1" si="24"/>
        <v/>
      </c>
      <c r="T191" s="92" t="str">
        <f t="shared" ca="1" si="24"/>
        <v/>
      </c>
    </row>
    <row r="192" spans="1:20" s="54" customFormat="1" ht="13.5" customHeight="1">
      <c r="A192" s="45" t="str">
        <f t="shared" ca="1" si="25"/>
        <v/>
      </c>
      <c r="B192" s="45" t="str">
        <f t="shared" ca="1" si="25"/>
        <v/>
      </c>
      <c r="C192" s="45" t="str">
        <f t="shared" ca="1" si="25"/>
        <v/>
      </c>
      <c r="D192" s="92" t="str">
        <f t="shared" ca="1" si="25"/>
        <v/>
      </c>
      <c r="E192" s="92" t="str">
        <f t="shared" ca="1" si="25"/>
        <v/>
      </c>
      <c r="F192" s="92" t="str">
        <f t="shared" ca="1" si="25"/>
        <v/>
      </c>
      <c r="G192" s="92">
        <f t="shared" ca="1" si="25"/>
        <v>0</v>
      </c>
      <c r="H192" s="92">
        <f t="shared" ca="1" si="25"/>
        <v>0</v>
      </c>
      <c r="I192" s="92">
        <f t="shared" ca="1" si="25"/>
        <v>0</v>
      </c>
      <c r="J192" s="45" t="str">
        <f t="shared" ca="1" si="25"/>
        <v/>
      </c>
      <c r="K192" s="45" t="str">
        <f t="shared" ca="1" si="25"/>
        <v/>
      </c>
      <c r="L192" s="45" t="str">
        <f t="shared" ca="1" si="25"/>
        <v/>
      </c>
      <c r="M192" s="45" t="str">
        <f t="shared" ca="1" si="25"/>
        <v/>
      </c>
      <c r="N192" s="45" t="str">
        <f t="shared" ca="1" si="25"/>
        <v/>
      </c>
      <c r="O192" s="45" t="str">
        <f t="shared" ca="1" si="25"/>
        <v/>
      </c>
      <c r="P192" s="92">
        <f t="shared" ca="1" si="25"/>
        <v>0</v>
      </c>
      <c r="Q192" s="92" t="str">
        <f t="shared" ca="1" si="24"/>
        <v/>
      </c>
      <c r="R192" s="92">
        <f t="shared" ca="1" si="24"/>
        <v>0</v>
      </c>
      <c r="S192" s="92" t="str">
        <f t="shared" ca="1" si="24"/>
        <v/>
      </c>
      <c r="T192" s="92" t="str">
        <f t="shared" ca="1" si="24"/>
        <v/>
      </c>
    </row>
    <row r="193" spans="1:20" s="54" customFormat="1" ht="13.5" customHeight="1">
      <c r="A193" s="45" t="str">
        <f t="shared" ca="1" si="25"/>
        <v/>
      </c>
      <c r="B193" s="45" t="str">
        <f t="shared" ca="1" si="25"/>
        <v/>
      </c>
      <c r="C193" s="45" t="str">
        <f t="shared" ca="1" si="25"/>
        <v/>
      </c>
      <c r="D193" s="92" t="str">
        <f t="shared" ca="1" si="25"/>
        <v/>
      </c>
      <c r="E193" s="92" t="str">
        <f t="shared" ca="1" si="25"/>
        <v/>
      </c>
      <c r="F193" s="92" t="str">
        <f t="shared" ca="1" si="25"/>
        <v/>
      </c>
      <c r="G193" s="92">
        <f t="shared" ca="1" si="25"/>
        <v>0</v>
      </c>
      <c r="H193" s="92">
        <f t="shared" ca="1" si="25"/>
        <v>0</v>
      </c>
      <c r="I193" s="92">
        <f t="shared" ca="1" si="25"/>
        <v>0</v>
      </c>
      <c r="J193" s="45" t="str">
        <f t="shared" ca="1" si="25"/>
        <v/>
      </c>
      <c r="K193" s="45" t="str">
        <f t="shared" ca="1" si="25"/>
        <v/>
      </c>
      <c r="L193" s="45" t="str">
        <f t="shared" ca="1" si="25"/>
        <v/>
      </c>
      <c r="M193" s="45" t="str">
        <f t="shared" ca="1" si="25"/>
        <v/>
      </c>
      <c r="N193" s="45" t="str">
        <f t="shared" ca="1" si="25"/>
        <v/>
      </c>
      <c r="O193" s="45" t="str">
        <f t="shared" ca="1" si="25"/>
        <v/>
      </c>
      <c r="P193" s="92">
        <f t="shared" ca="1" si="25"/>
        <v>0</v>
      </c>
      <c r="Q193" s="92" t="str">
        <f t="shared" ca="1" si="24"/>
        <v/>
      </c>
      <c r="R193" s="92">
        <f t="shared" ca="1" si="24"/>
        <v>0</v>
      </c>
      <c r="S193" s="92" t="str">
        <f t="shared" ca="1" si="24"/>
        <v/>
      </c>
      <c r="T193" s="92" t="str">
        <f t="shared" ca="1" si="24"/>
        <v/>
      </c>
    </row>
    <row r="194" spans="1:20" s="54" customFormat="1" ht="13.5" customHeight="1">
      <c r="A194" s="45" t="str">
        <f t="shared" ca="1" si="25"/>
        <v/>
      </c>
      <c r="B194" s="45" t="str">
        <f t="shared" ca="1" si="25"/>
        <v/>
      </c>
      <c r="C194" s="45" t="str">
        <f t="shared" ca="1" si="25"/>
        <v/>
      </c>
      <c r="D194" s="92" t="str">
        <f t="shared" ca="1" si="25"/>
        <v/>
      </c>
      <c r="E194" s="92" t="str">
        <f t="shared" ca="1" si="25"/>
        <v/>
      </c>
      <c r="F194" s="92" t="str">
        <f t="shared" ca="1" si="25"/>
        <v/>
      </c>
      <c r="G194" s="92">
        <f t="shared" ca="1" si="25"/>
        <v>0</v>
      </c>
      <c r="H194" s="92">
        <f t="shared" ca="1" si="25"/>
        <v>0</v>
      </c>
      <c r="I194" s="92">
        <f t="shared" ca="1" si="25"/>
        <v>0</v>
      </c>
      <c r="J194" s="45" t="str">
        <f t="shared" ca="1" si="25"/>
        <v/>
      </c>
      <c r="K194" s="45" t="str">
        <f t="shared" ca="1" si="25"/>
        <v/>
      </c>
      <c r="L194" s="45" t="str">
        <f t="shared" ca="1" si="25"/>
        <v/>
      </c>
      <c r="M194" s="45" t="str">
        <f t="shared" ca="1" si="25"/>
        <v/>
      </c>
      <c r="N194" s="45" t="str">
        <f t="shared" ca="1" si="25"/>
        <v/>
      </c>
      <c r="O194" s="45" t="str">
        <f t="shared" ca="1" si="25"/>
        <v/>
      </c>
      <c r="P194" s="92">
        <f t="shared" ca="1" si="25"/>
        <v>0</v>
      </c>
      <c r="Q194" s="92" t="str">
        <f t="shared" ca="1" si="24"/>
        <v/>
      </c>
      <c r="R194" s="92">
        <f t="shared" ca="1" si="24"/>
        <v>0</v>
      </c>
      <c r="S194" s="92" t="str">
        <f t="shared" ca="1" si="24"/>
        <v/>
      </c>
      <c r="T194" s="92" t="str">
        <f t="shared" ca="1" si="24"/>
        <v/>
      </c>
    </row>
    <row r="195" spans="1:20" s="54" customFormat="1" ht="13.5" customHeight="1">
      <c r="A195" s="45" t="str">
        <f t="shared" ca="1" si="25"/>
        <v/>
      </c>
      <c r="B195" s="45" t="str">
        <f t="shared" ca="1" si="25"/>
        <v/>
      </c>
      <c r="C195" s="45" t="str">
        <f t="shared" ca="1" si="25"/>
        <v/>
      </c>
      <c r="D195" s="92" t="str">
        <f t="shared" ca="1" si="25"/>
        <v/>
      </c>
      <c r="E195" s="92" t="str">
        <f t="shared" ca="1" si="25"/>
        <v/>
      </c>
      <c r="F195" s="92" t="str">
        <f t="shared" ca="1" si="25"/>
        <v/>
      </c>
      <c r="G195" s="92">
        <f t="shared" ca="1" si="25"/>
        <v>0</v>
      </c>
      <c r="H195" s="92">
        <f t="shared" ca="1" si="25"/>
        <v>0</v>
      </c>
      <c r="I195" s="92">
        <f t="shared" ca="1" si="25"/>
        <v>0</v>
      </c>
      <c r="J195" s="45" t="str">
        <f t="shared" ca="1" si="25"/>
        <v/>
      </c>
      <c r="K195" s="45" t="str">
        <f t="shared" ca="1" si="25"/>
        <v/>
      </c>
      <c r="L195" s="45" t="str">
        <f t="shared" ca="1" si="25"/>
        <v/>
      </c>
      <c r="M195" s="45" t="str">
        <f t="shared" ca="1" si="25"/>
        <v/>
      </c>
      <c r="N195" s="45" t="str">
        <f t="shared" ca="1" si="25"/>
        <v/>
      </c>
      <c r="O195" s="45" t="str">
        <f t="shared" ca="1" si="25"/>
        <v/>
      </c>
      <c r="P195" s="92">
        <f t="shared" ca="1" si="25"/>
        <v>0</v>
      </c>
      <c r="Q195" s="92" t="str">
        <f t="shared" ca="1" si="24"/>
        <v/>
      </c>
      <c r="R195" s="92">
        <f t="shared" ca="1" si="24"/>
        <v>0</v>
      </c>
      <c r="S195" s="92" t="str">
        <f t="shared" ca="1" si="24"/>
        <v/>
      </c>
      <c r="T195" s="92" t="str">
        <f t="shared" ca="1" si="24"/>
        <v/>
      </c>
    </row>
    <row r="196" spans="1:20" s="54" customFormat="1" ht="13.5" customHeight="1">
      <c r="A196" s="45" t="str">
        <f t="shared" ca="1" si="25"/>
        <v/>
      </c>
      <c r="B196" s="45" t="str">
        <f t="shared" ca="1" si="25"/>
        <v/>
      </c>
      <c r="C196" s="45" t="str">
        <f t="shared" ca="1" si="25"/>
        <v/>
      </c>
      <c r="D196" s="92" t="str">
        <f t="shared" ca="1" si="25"/>
        <v/>
      </c>
      <c r="E196" s="92" t="str">
        <f t="shared" ca="1" si="25"/>
        <v/>
      </c>
      <c r="F196" s="92" t="str">
        <f t="shared" ca="1" si="25"/>
        <v/>
      </c>
      <c r="G196" s="92">
        <f t="shared" ca="1" si="25"/>
        <v>0</v>
      </c>
      <c r="H196" s="92">
        <f t="shared" ca="1" si="25"/>
        <v>0</v>
      </c>
      <c r="I196" s="92">
        <f t="shared" ca="1" si="25"/>
        <v>0</v>
      </c>
      <c r="J196" s="45" t="str">
        <f t="shared" ca="1" si="25"/>
        <v/>
      </c>
      <c r="K196" s="45" t="str">
        <f t="shared" ca="1" si="25"/>
        <v/>
      </c>
      <c r="L196" s="45" t="str">
        <f t="shared" ca="1" si="25"/>
        <v/>
      </c>
      <c r="M196" s="45" t="str">
        <f t="shared" ca="1" si="25"/>
        <v/>
      </c>
      <c r="N196" s="45" t="str">
        <f t="shared" ca="1" si="25"/>
        <v/>
      </c>
      <c r="O196" s="45" t="str">
        <f t="shared" ca="1" si="25"/>
        <v/>
      </c>
      <c r="P196" s="92">
        <f t="shared" ca="1" si="25"/>
        <v>0</v>
      </c>
      <c r="Q196" s="92" t="str">
        <f t="shared" ca="1" si="24"/>
        <v/>
      </c>
      <c r="R196" s="92">
        <f t="shared" ca="1" si="24"/>
        <v>0</v>
      </c>
      <c r="S196" s="92" t="str">
        <f t="shared" ca="1" si="24"/>
        <v/>
      </c>
      <c r="T196" s="92" t="str">
        <f t="shared" ca="1" si="24"/>
        <v/>
      </c>
    </row>
    <row r="197" spans="1:20" s="54" customFormat="1" ht="13.5" customHeight="1">
      <c r="A197" s="45" t="str">
        <f t="shared" ca="1" si="25"/>
        <v/>
      </c>
      <c r="B197" s="45" t="str">
        <f t="shared" ca="1" si="25"/>
        <v/>
      </c>
      <c r="C197" s="45" t="str">
        <f t="shared" ca="1" si="25"/>
        <v/>
      </c>
      <c r="D197" s="92" t="str">
        <f t="shared" ca="1" si="25"/>
        <v/>
      </c>
      <c r="E197" s="92" t="str">
        <f t="shared" ca="1" si="25"/>
        <v/>
      </c>
      <c r="F197" s="92" t="str">
        <f t="shared" ca="1" si="25"/>
        <v/>
      </c>
      <c r="G197" s="92">
        <f t="shared" ca="1" si="25"/>
        <v>0</v>
      </c>
      <c r="H197" s="92">
        <f t="shared" ca="1" si="25"/>
        <v>0</v>
      </c>
      <c r="I197" s="92">
        <f t="shared" ca="1" si="25"/>
        <v>0</v>
      </c>
      <c r="J197" s="45" t="str">
        <f t="shared" ca="1" si="25"/>
        <v/>
      </c>
      <c r="K197" s="45" t="str">
        <f t="shared" ca="1" si="25"/>
        <v/>
      </c>
      <c r="L197" s="45" t="str">
        <f t="shared" ca="1" si="25"/>
        <v/>
      </c>
      <c r="M197" s="45" t="str">
        <f t="shared" ca="1" si="25"/>
        <v/>
      </c>
      <c r="N197" s="45" t="str">
        <f t="shared" ca="1" si="25"/>
        <v/>
      </c>
      <c r="O197" s="45" t="str">
        <f t="shared" ca="1" si="25"/>
        <v/>
      </c>
      <c r="P197" s="92">
        <f t="shared" ca="1" si="25"/>
        <v>0</v>
      </c>
      <c r="Q197" s="92" t="str">
        <f t="shared" ca="1" si="24"/>
        <v/>
      </c>
      <c r="R197" s="92">
        <f t="shared" ca="1" si="24"/>
        <v>0</v>
      </c>
      <c r="S197" s="92" t="str">
        <f t="shared" ca="1" si="24"/>
        <v/>
      </c>
      <c r="T197" s="92" t="str">
        <f t="shared" ca="1" si="24"/>
        <v/>
      </c>
    </row>
    <row r="198" spans="1:20" s="54" customFormat="1" ht="13.5" customHeight="1">
      <c r="A198" s="45" t="str">
        <f t="shared" ca="1" si="25"/>
        <v/>
      </c>
      <c r="B198" s="45" t="str">
        <f t="shared" ca="1" si="25"/>
        <v/>
      </c>
      <c r="C198" s="45" t="str">
        <f t="shared" ca="1" si="25"/>
        <v/>
      </c>
      <c r="D198" s="92" t="str">
        <f t="shared" ca="1" si="25"/>
        <v/>
      </c>
      <c r="E198" s="92" t="str">
        <f t="shared" ca="1" si="25"/>
        <v/>
      </c>
      <c r="F198" s="92" t="str">
        <f t="shared" ca="1" si="25"/>
        <v/>
      </c>
      <c r="G198" s="92">
        <f t="shared" ca="1" si="25"/>
        <v>0</v>
      </c>
      <c r="H198" s="92">
        <f t="shared" ca="1" si="25"/>
        <v>0</v>
      </c>
      <c r="I198" s="92">
        <f t="shared" ca="1" si="25"/>
        <v>0</v>
      </c>
      <c r="J198" s="45" t="str">
        <f t="shared" ca="1" si="25"/>
        <v/>
      </c>
      <c r="K198" s="45" t="str">
        <f t="shared" ca="1" si="25"/>
        <v/>
      </c>
      <c r="L198" s="45" t="str">
        <f t="shared" ca="1" si="25"/>
        <v/>
      </c>
      <c r="M198" s="45" t="str">
        <f t="shared" ca="1" si="25"/>
        <v/>
      </c>
      <c r="N198" s="45" t="str">
        <f t="shared" ca="1" si="25"/>
        <v/>
      </c>
      <c r="O198" s="45" t="str">
        <f t="shared" ca="1" si="25"/>
        <v/>
      </c>
      <c r="P198" s="92">
        <f t="shared" ca="1" si="25"/>
        <v>0</v>
      </c>
      <c r="Q198" s="92" t="str">
        <f t="shared" ca="1" si="24"/>
        <v/>
      </c>
      <c r="R198" s="92">
        <f t="shared" ca="1" si="24"/>
        <v>0</v>
      </c>
      <c r="S198" s="92" t="str">
        <f t="shared" ca="1" si="24"/>
        <v/>
      </c>
      <c r="T198" s="92" t="str">
        <f t="shared" ca="1" si="24"/>
        <v/>
      </c>
    </row>
    <row r="199" spans="1:20" s="54" customFormat="1" ht="13.5" customHeight="1">
      <c r="A199" s="45" t="str">
        <f t="shared" ca="1" si="25"/>
        <v/>
      </c>
      <c r="B199" s="45" t="str">
        <f t="shared" ca="1" si="25"/>
        <v/>
      </c>
      <c r="C199" s="45" t="str">
        <f t="shared" ca="1" si="25"/>
        <v/>
      </c>
      <c r="D199" s="92" t="str">
        <f t="shared" ca="1" si="25"/>
        <v/>
      </c>
      <c r="E199" s="92" t="str">
        <f t="shared" ca="1" si="25"/>
        <v/>
      </c>
      <c r="F199" s="92" t="str">
        <f t="shared" ca="1" si="25"/>
        <v/>
      </c>
      <c r="G199" s="92">
        <f t="shared" ca="1" si="25"/>
        <v>0</v>
      </c>
      <c r="H199" s="92">
        <f t="shared" ca="1" si="25"/>
        <v>0</v>
      </c>
      <c r="I199" s="92">
        <f t="shared" ca="1" si="25"/>
        <v>0</v>
      </c>
      <c r="J199" s="45" t="str">
        <f t="shared" ca="1" si="25"/>
        <v/>
      </c>
      <c r="K199" s="45" t="str">
        <f t="shared" ca="1" si="25"/>
        <v/>
      </c>
      <c r="L199" s="45" t="str">
        <f t="shared" ca="1" si="25"/>
        <v/>
      </c>
      <c r="M199" s="45" t="str">
        <f t="shared" ca="1" si="25"/>
        <v/>
      </c>
      <c r="N199" s="45" t="str">
        <f t="shared" ca="1" si="25"/>
        <v/>
      </c>
      <c r="O199" s="45" t="str">
        <f t="shared" ca="1" si="25"/>
        <v/>
      </c>
      <c r="P199" s="92">
        <f t="shared" ca="1" si="25"/>
        <v>0</v>
      </c>
      <c r="Q199" s="92" t="str">
        <f t="shared" ca="1" si="24"/>
        <v/>
      </c>
      <c r="R199" s="92">
        <f t="shared" ca="1" si="24"/>
        <v>0</v>
      </c>
      <c r="S199" s="92" t="str">
        <f t="shared" ca="1" si="24"/>
        <v/>
      </c>
      <c r="T199" s="92" t="str">
        <f t="shared" ca="1" si="24"/>
        <v/>
      </c>
    </row>
    <row r="200" spans="1:20" s="54" customFormat="1" ht="13.5" customHeight="1">
      <c r="A200" s="45" t="str">
        <f t="shared" ca="1" si="25"/>
        <v/>
      </c>
      <c r="B200" s="45" t="str">
        <f t="shared" ca="1" si="25"/>
        <v/>
      </c>
      <c r="C200" s="45" t="str">
        <f t="shared" ca="1" si="25"/>
        <v/>
      </c>
      <c r="D200" s="92" t="str">
        <f t="shared" ca="1" si="25"/>
        <v/>
      </c>
      <c r="E200" s="92" t="str">
        <f t="shared" ca="1" si="25"/>
        <v/>
      </c>
      <c r="F200" s="92" t="str">
        <f t="shared" ca="1" si="25"/>
        <v/>
      </c>
      <c r="G200" s="92">
        <f t="shared" ca="1" si="25"/>
        <v>0</v>
      </c>
      <c r="H200" s="92">
        <f t="shared" ca="1" si="25"/>
        <v>0</v>
      </c>
      <c r="I200" s="92">
        <f t="shared" ca="1" si="25"/>
        <v>0</v>
      </c>
      <c r="J200" s="45" t="str">
        <f t="shared" ca="1" si="25"/>
        <v/>
      </c>
      <c r="K200" s="45" t="str">
        <f t="shared" ca="1" si="25"/>
        <v/>
      </c>
      <c r="L200" s="45" t="str">
        <f t="shared" ca="1" si="25"/>
        <v/>
      </c>
      <c r="M200" s="45" t="str">
        <f t="shared" ca="1" si="25"/>
        <v/>
      </c>
      <c r="N200" s="45" t="str">
        <f t="shared" ca="1" si="25"/>
        <v/>
      </c>
      <c r="O200" s="45" t="str">
        <f t="shared" ca="1" si="25"/>
        <v/>
      </c>
      <c r="P200" s="92">
        <f t="shared" ca="1" si="25"/>
        <v>0</v>
      </c>
      <c r="Q200" s="92" t="str">
        <f t="shared" ca="1" si="24"/>
        <v/>
      </c>
      <c r="R200" s="92">
        <f t="shared" ca="1" si="24"/>
        <v>0</v>
      </c>
      <c r="S200" s="92" t="str">
        <f t="shared" ca="1" si="24"/>
        <v/>
      </c>
      <c r="T200" s="92" t="str">
        <f t="shared" ca="1" si="24"/>
        <v/>
      </c>
    </row>
    <row r="201" spans="1:20" s="54" customFormat="1" ht="13.5" customHeight="1">
      <c r="A201" s="45" t="str">
        <f t="shared" ca="1" si="25"/>
        <v/>
      </c>
      <c r="B201" s="45" t="str">
        <f t="shared" ca="1" si="25"/>
        <v/>
      </c>
      <c r="C201" s="45" t="str">
        <f t="shared" ca="1" si="25"/>
        <v/>
      </c>
      <c r="D201" s="92" t="str">
        <f t="shared" ca="1" si="25"/>
        <v/>
      </c>
      <c r="E201" s="92" t="str">
        <f t="shared" ca="1" si="25"/>
        <v/>
      </c>
      <c r="F201" s="92" t="str">
        <f t="shared" ca="1" si="25"/>
        <v/>
      </c>
      <c r="G201" s="92">
        <f t="shared" ca="1" si="25"/>
        <v>0</v>
      </c>
      <c r="H201" s="92">
        <f t="shared" ca="1" si="25"/>
        <v>0</v>
      </c>
      <c r="I201" s="92">
        <f t="shared" ca="1" si="25"/>
        <v>0</v>
      </c>
      <c r="J201" s="45" t="str">
        <f t="shared" ca="1" si="25"/>
        <v/>
      </c>
      <c r="K201" s="45" t="str">
        <f t="shared" ca="1" si="25"/>
        <v/>
      </c>
      <c r="L201" s="45" t="str">
        <f t="shared" ca="1" si="25"/>
        <v/>
      </c>
      <c r="M201" s="45" t="str">
        <f t="shared" ca="1" si="25"/>
        <v/>
      </c>
      <c r="N201" s="45" t="str">
        <f t="shared" ca="1" si="25"/>
        <v/>
      </c>
      <c r="O201" s="45" t="str">
        <f t="shared" ca="1" si="25"/>
        <v/>
      </c>
      <c r="P201" s="92">
        <f t="shared" ca="1" si="25"/>
        <v>0</v>
      </c>
      <c r="Q201" s="92" t="str">
        <f t="shared" ca="1" si="24"/>
        <v/>
      </c>
      <c r="R201" s="92">
        <f t="shared" ca="1" si="24"/>
        <v>0</v>
      </c>
      <c r="S201" s="92" t="str">
        <f t="shared" ca="1" si="24"/>
        <v/>
      </c>
      <c r="T201" s="92" t="str">
        <f t="shared" ca="1" si="24"/>
        <v/>
      </c>
    </row>
    <row r="202" spans="1:20" s="54" customFormat="1" ht="13.5" customHeight="1">
      <c r="A202" s="45" t="str">
        <f t="shared" ca="1" si="25"/>
        <v/>
      </c>
      <c r="B202" s="45" t="str">
        <f t="shared" ca="1" si="25"/>
        <v/>
      </c>
      <c r="C202" s="45" t="str">
        <f t="shared" ca="1" si="25"/>
        <v/>
      </c>
      <c r="D202" s="92" t="str">
        <f t="shared" ca="1" si="25"/>
        <v/>
      </c>
      <c r="E202" s="92" t="str">
        <f t="shared" ca="1" si="25"/>
        <v/>
      </c>
      <c r="F202" s="92" t="str">
        <f t="shared" ca="1" si="25"/>
        <v/>
      </c>
      <c r="G202" s="92">
        <f t="shared" ca="1" si="25"/>
        <v>0</v>
      </c>
      <c r="H202" s="92">
        <f t="shared" ca="1" si="25"/>
        <v>0</v>
      </c>
      <c r="I202" s="92">
        <f t="shared" ca="1" si="25"/>
        <v>0</v>
      </c>
      <c r="J202" s="45" t="str">
        <f t="shared" ca="1" si="25"/>
        <v/>
      </c>
      <c r="K202" s="45" t="str">
        <f t="shared" ca="1" si="25"/>
        <v/>
      </c>
      <c r="L202" s="45" t="str">
        <f t="shared" ca="1" si="25"/>
        <v/>
      </c>
      <c r="M202" s="45" t="str">
        <f t="shared" ca="1" si="25"/>
        <v/>
      </c>
      <c r="N202" s="45" t="str">
        <f t="shared" ca="1" si="25"/>
        <v/>
      </c>
      <c r="O202" s="45" t="str">
        <f t="shared" ca="1" si="25"/>
        <v/>
      </c>
      <c r="P202" s="92">
        <f t="shared" ca="1" si="25"/>
        <v>0</v>
      </c>
      <c r="Q202" s="92" t="str">
        <f t="shared" ca="1" si="24"/>
        <v/>
      </c>
      <c r="R202" s="92">
        <f t="shared" ca="1" si="24"/>
        <v>0</v>
      </c>
      <c r="S202" s="92" t="str">
        <f t="shared" ca="1" si="24"/>
        <v/>
      </c>
      <c r="T202" s="92" t="str">
        <f t="shared" ca="1" si="24"/>
        <v/>
      </c>
    </row>
    <row r="203" spans="1:20" s="54" customFormat="1" ht="13.5" customHeight="1">
      <c r="A203" s="45" t="str">
        <f t="shared" ca="1" si="25"/>
        <v/>
      </c>
      <c r="B203" s="45" t="str">
        <f t="shared" ca="1" si="25"/>
        <v/>
      </c>
      <c r="C203" s="45" t="str">
        <f t="shared" ca="1" si="25"/>
        <v/>
      </c>
      <c r="D203" s="92" t="str">
        <f t="shared" ca="1" si="25"/>
        <v/>
      </c>
      <c r="E203" s="92" t="str">
        <f t="shared" ca="1" si="25"/>
        <v/>
      </c>
      <c r="F203" s="92" t="str">
        <f t="shared" ca="1" si="25"/>
        <v/>
      </c>
      <c r="G203" s="92" t="str">
        <f t="shared" ca="1" si="25"/>
        <v/>
      </c>
      <c r="H203" s="92" t="str">
        <f t="shared" ca="1" si="25"/>
        <v/>
      </c>
      <c r="I203" s="92" t="str">
        <f t="shared" ca="1" si="25"/>
        <v/>
      </c>
      <c r="J203" s="45" t="str">
        <f t="shared" ca="1" si="25"/>
        <v/>
      </c>
      <c r="K203" s="45" t="str">
        <f t="shared" ca="1" si="25"/>
        <v/>
      </c>
      <c r="L203" s="45" t="str">
        <f t="shared" ca="1" si="25"/>
        <v/>
      </c>
      <c r="M203" s="45" t="str">
        <f t="shared" ca="1" si="25"/>
        <v/>
      </c>
      <c r="N203" s="45" t="str">
        <f t="shared" ca="1" si="25"/>
        <v/>
      </c>
      <c r="O203" s="45" t="str">
        <f t="shared" ca="1" si="25"/>
        <v/>
      </c>
      <c r="P203" s="92" t="str">
        <f t="shared" ca="1" si="25"/>
        <v/>
      </c>
      <c r="Q203" s="92" t="str">
        <f t="shared" ca="1" si="24"/>
        <v/>
      </c>
      <c r="R203" s="92" t="str">
        <f t="shared" ca="1" si="24"/>
        <v/>
      </c>
      <c r="S203" s="92" t="str">
        <f t="shared" ca="1" si="24"/>
        <v/>
      </c>
      <c r="T203" s="92" t="str">
        <f t="shared" ca="1" si="24"/>
        <v/>
      </c>
    </row>
    <row r="204" spans="1:20" s="54" customFormat="1" ht="13.5" customHeight="1">
      <c r="A204" s="45" t="str">
        <f t="shared" ca="1" si="25"/>
        <v/>
      </c>
      <c r="B204" s="45" t="str">
        <f t="shared" ca="1" si="25"/>
        <v/>
      </c>
      <c r="C204" s="45" t="str">
        <f t="shared" ca="1" si="25"/>
        <v/>
      </c>
      <c r="D204" s="92" t="str">
        <f t="shared" ca="1" si="25"/>
        <v/>
      </c>
      <c r="E204" s="92" t="str">
        <f t="shared" ca="1" si="25"/>
        <v/>
      </c>
      <c r="F204" s="92" t="str">
        <f t="shared" ca="1" si="25"/>
        <v/>
      </c>
      <c r="G204" s="92" t="str">
        <f t="shared" ca="1" si="25"/>
        <v/>
      </c>
      <c r="H204" s="92" t="str">
        <f t="shared" ca="1" si="25"/>
        <v/>
      </c>
      <c r="I204" s="92" t="str">
        <f t="shared" ca="1" si="25"/>
        <v/>
      </c>
      <c r="J204" s="45" t="str">
        <f t="shared" ca="1" si="25"/>
        <v/>
      </c>
      <c r="K204" s="45" t="str">
        <f t="shared" ca="1" si="25"/>
        <v/>
      </c>
      <c r="L204" s="45" t="str">
        <f t="shared" ca="1" si="25"/>
        <v/>
      </c>
      <c r="M204" s="45" t="str">
        <f t="shared" ca="1" si="25"/>
        <v/>
      </c>
      <c r="N204" s="45" t="str">
        <f t="shared" ca="1" si="25"/>
        <v/>
      </c>
      <c r="O204" s="45" t="str">
        <f t="shared" ca="1" si="25"/>
        <v/>
      </c>
      <c r="P204" s="92" t="str">
        <f t="shared" ref="P204:T219" ca="1" si="26">IF(INDIRECT("제작의뢰서!"&amp;ADDRESS(ROW(),COLUMN()))="","",INDIRECT("제작의뢰서!"&amp;ADDRESS(ROW(),COLUMN())))</f>
        <v/>
      </c>
      <c r="Q204" s="92" t="str">
        <f t="shared" ca="1" si="26"/>
        <v/>
      </c>
      <c r="R204" s="92" t="str">
        <f t="shared" ca="1" si="26"/>
        <v/>
      </c>
      <c r="S204" s="92" t="str">
        <f t="shared" ca="1" si="26"/>
        <v/>
      </c>
      <c r="T204" s="92" t="str">
        <f t="shared" ca="1" si="26"/>
        <v/>
      </c>
    </row>
    <row r="205" spans="1:20" s="54" customFormat="1" ht="13.5" customHeight="1">
      <c r="A205" s="45" t="str">
        <f t="shared" ref="A205:P220" ca="1" si="27">IF(INDIRECT("제작의뢰서!"&amp;ADDRESS(ROW(),COLUMN()))="","",INDIRECT("제작의뢰서!"&amp;ADDRESS(ROW(),COLUMN())))</f>
        <v/>
      </c>
      <c r="B205" s="45" t="str">
        <f t="shared" ca="1" si="27"/>
        <v/>
      </c>
      <c r="C205" s="45" t="str">
        <f t="shared" ca="1" si="27"/>
        <v/>
      </c>
      <c r="D205" s="92" t="str">
        <f t="shared" ca="1" si="27"/>
        <v/>
      </c>
      <c r="E205" s="92" t="str">
        <f t="shared" ca="1" si="27"/>
        <v/>
      </c>
      <c r="F205" s="92" t="str">
        <f t="shared" ca="1" si="27"/>
        <v/>
      </c>
      <c r="G205" s="92" t="str">
        <f t="shared" ca="1" si="27"/>
        <v/>
      </c>
      <c r="H205" s="92" t="str">
        <f t="shared" ca="1" si="27"/>
        <v/>
      </c>
      <c r="I205" s="92" t="str">
        <f t="shared" ca="1" si="27"/>
        <v/>
      </c>
      <c r="J205" s="45" t="str">
        <f t="shared" ca="1" si="27"/>
        <v/>
      </c>
      <c r="K205" s="45" t="str">
        <f t="shared" ca="1" si="27"/>
        <v/>
      </c>
      <c r="L205" s="45" t="str">
        <f t="shared" ca="1" si="27"/>
        <v/>
      </c>
      <c r="M205" s="45" t="str">
        <f t="shared" ca="1" si="27"/>
        <v/>
      </c>
      <c r="N205" s="45" t="str">
        <f t="shared" ca="1" si="27"/>
        <v/>
      </c>
      <c r="O205" s="45" t="str">
        <f t="shared" ca="1" si="27"/>
        <v/>
      </c>
      <c r="P205" s="92" t="str">
        <f t="shared" ca="1" si="27"/>
        <v/>
      </c>
      <c r="Q205" s="92" t="str">
        <f t="shared" ca="1" si="26"/>
        <v/>
      </c>
      <c r="R205" s="92" t="str">
        <f t="shared" ca="1" si="26"/>
        <v/>
      </c>
      <c r="S205" s="92" t="str">
        <f t="shared" ca="1" si="26"/>
        <v/>
      </c>
      <c r="T205" s="92" t="str">
        <f t="shared" ca="1" si="26"/>
        <v/>
      </c>
    </row>
    <row r="206" spans="1:20" s="54" customFormat="1" ht="13.5" customHeight="1">
      <c r="A206" s="45" t="str">
        <f t="shared" ca="1" si="27"/>
        <v/>
      </c>
      <c r="B206" s="45" t="str">
        <f t="shared" ca="1" si="27"/>
        <v/>
      </c>
      <c r="C206" s="45" t="str">
        <f t="shared" ca="1" si="27"/>
        <v/>
      </c>
      <c r="D206" s="92" t="str">
        <f t="shared" ca="1" si="27"/>
        <v/>
      </c>
      <c r="E206" s="92" t="str">
        <f t="shared" ca="1" si="27"/>
        <v/>
      </c>
      <c r="F206" s="92" t="str">
        <f t="shared" ca="1" si="27"/>
        <v/>
      </c>
      <c r="G206" s="92" t="str">
        <f t="shared" ca="1" si="27"/>
        <v/>
      </c>
      <c r="H206" s="92" t="str">
        <f t="shared" ca="1" si="27"/>
        <v/>
      </c>
      <c r="I206" s="92" t="str">
        <f t="shared" ca="1" si="27"/>
        <v/>
      </c>
      <c r="J206" s="45" t="str">
        <f t="shared" ca="1" si="27"/>
        <v/>
      </c>
      <c r="K206" s="45" t="str">
        <f t="shared" ca="1" si="27"/>
        <v/>
      </c>
      <c r="L206" s="45" t="str">
        <f t="shared" ca="1" si="27"/>
        <v/>
      </c>
      <c r="M206" s="45" t="str">
        <f t="shared" ca="1" si="27"/>
        <v/>
      </c>
      <c r="N206" s="45" t="str">
        <f t="shared" ca="1" si="27"/>
        <v/>
      </c>
      <c r="O206" s="45" t="str">
        <f t="shared" ca="1" si="27"/>
        <v/>
      </c>
      <c r="P206" s="92" t="str">
        <f t="shared" ca="1" si="27"/>
        <v/>
      </c>
      <c r="Q206" s="92" t="str">
        <f t="shared" ca="1" si="26"/>
        <v/>
      </c>
      <c r="R206" s="92" t="str">
        <f t="shared" ca="1" si="26"/>
        <v/>
      </c>
      <c r="S206" s="92" t="str">
        <f t="shared" ca="1" si="26"/>
        <v/>
      </c>
      <c r="T206" s="92" t="str">
        <f t="shared" ca="1" si="26"/>
        <v/>
      </c>
    </row>
    <row r="207" spans="1:20" s="54" customFormat="1" ht="13.5" customHeight="1">
      <c r="A207" s="45" t="str">
        <f t="shared" ca="1" si="27"/>
        <v/>
      </c>
      <c r="B207" s="45" t="str">
        <f t="shared" ca="1" si="27"/>
        <v/>
      </c>
      <c r="C207" s="45" t="str">
        <f t="shared" ca="1" si="27"/>
        <v/>
      </c>
      <c r="D207" s="92" t="str">
        <f t="shared" ca="1" si="27"/>
        <v/>
      </c>
      <c r="E207" s="92" t="str">
        <f t="shared" ca="1" si="27"/>
        <v/>
      </c>
      <c r="F207" s="92" t="str">
        <f t="shared" ca="1" si="27"/>
        <v/>
      </c>
      <c r="G207" s="92" t="str">
        <f t="shared" ca="1" si="27"/>
        <v/>
      </c>
      <c r="H207" s="92" t="str">
        <f t="shared" ca="1" si="27"/>
        <v/>
      </c>
      <c r="I207" s="92" t="str">
        <f t="shared" ca="1" si="27"/>
        <v/>
      </c>
      <c r="J207" s="45" t="str">
        <f t="shared" ca="1" si="27"/>
        <v/>
      </c>
      <c r="K207" s="45" t="str">
        <f t="shared" ca="1" si="27"/>
        <v/>
      </c>
      <c r="L207" s="45" t="str">
        <f t="shared" ca="1" si="27"/>
        <v/>
      </c>
      <c r="M207" s="45" t="str">
        <f t="shared" ca="1" si="27"/>
        <v/>
      </c>
      <c r="N207" s="45" t="str">
        <f t="shared" ca="1" si="27"/>
        <v/>
      </c>
      <c r="O207" s="45" t="str">
        <f t="shared" ca="1" si="27"/>
        <v/>
      </c>
      <c r="P207" s="92" t="str">
        <f t="shared" ca="1" si="27"/>
        <v/>
      </c>
      <c r="Q207" s="92" t="str">
        <f t="shared" ca="1" si="26"/>
        <v/>
      </c>
      <c r="R207" s="92" t="str">
        <f t="shared" ca="1" si="26"/>
        <v/>
      </c>
      <c r="S207" s="92" t="str">
        <f t="shared" ca="1" si="26"/>
        <v/>
      </c>
      <c r="T207" s="92" t="str">
        <f t="shared" ca="1" si="26"/>
        <v/>
      </c>
    </row>
    <row r="208" spans="1:20" s="54" customFormat="1" ht="13.5" customHeight="1">
      <c r="A208" s="45" t="str">
        <f t="shared" ca="1" si="27"/>
        <v/>
      </c>
      <c r="B208" s="45" t="str">
        <f t="shared" ca="1" si="27"/>
        <v/>
      </c>
      <c r="C208" s="45" t="str">
        <f t="shared" ca="1" si="27"/>
        <v/>
      </c>
      <c r="D208" s="92" t="str">
        <f t="shared" ca="1" si="27"/>
        <v/>
      </c>
      <c r="E208" s="92" t="str">
        <f t="shared" ca="1" si="27"/>
        <v/>
      </c>
      <c r="F208" s="92" t="str">
        <f t="shared" ca="1" si="27"/>
        <v/>
      </c>
      <c r="G208" s="92" t="str">
        <f t="shared" ca="1" si="27"/>
        <v/>
      </c>
      <c r="H208" s="92" t="str">
        <f t="shared" ca="1" si="27"/>
        <v/>
      </c>
      <c r="I208" s="92" t="str">
        <f t="shared" ca="1" si="27"/>
        <v/>
      </c>
      <c r="J208" s="45" t="str">
        <f t="shared" ca="1" si="27"/>
        <v/>
      </c>
      <c r="K208" s="45" t="str">
        <f t="shared" ca="1" si="27"/>
        <v/>
      </c>
      <c r="L208" s="45" t="str">
        <f t="shared" ca="1" si="27"/>
        <v/>
      </c>
      <c r="M208" s="45" t="str">
        <f t="shared" ca="1" si="27"/>
        <v/>
      </c>
      <c r="N208" s="45" t="str">
        <f t="shared" ca="1" si="27"/>
        <v/>
      </c>
      <c r="O208" s="45" t="str">
        <f t="shared" ca="1" si="27"/>
        <v/>
      </c>
      <c r="P208" s="92" t="str">
        <f t="shared" ca="1" si="27"/>
        <v/>
      </c>
      <c r="Q208" s="92" t="str">
        <f t="shared" ca="1" si="26"/>
        <v/>
      </c>
      <c r="R208" s="92" t="str">
        <f t="shared" ca="1" si="26"/>
        <v/>
      </c>
      <c r="S208" s="92" t="str">
        <f t="shared" ca="1" si="26"/>
        <v/>
      </c>
      <c r="T208" s="92" t="str">
        <f t="shared" ca="1" si="26"/>
        <v/>
      </c>
    </row>
    <row r="209" spans="1:20" s="54" customFormat="1" ht="13.5" customHeight="1">
      <c r="A209" s="45" t="str">
        <f t="shared" ca="1" si="27"/>
        <v/>
      </c>
      <c r="B209" s="45" t="str">
        <f t="shared" ca="1" si="27"/>
        <v/>
      </c>
      <c r="C209" s="45" t="str">
        <f t="shared" ca="1" si="27"/>
        <v/>
      </c>
      <c r="D209" s="92" t="str">
        <f t="shared" ca="1" si="27"/>
        <v/>
      </c>
      <c r="E209" s="92" t="str">
        <f t="shared" ca="1" si="27"/>
        <v/>
      </c>
      <c r="F209" s="92" t="str">
        <f t="shared" ca="1" si="27"/>
        <v/>
      </c>
      <c r="G209" s="92" t="str">
        <f t="shared" ca="1" si="27"/>
        <v/>
      </c>
      <c r="H209" s="92" t="str">
        <f t="shared" ca="1" si="27"/>
        <v/>
      </c>
      <c r="I209" s="92" t="str">
        <f t="shared" ca="1" si="27"/>
        <v/>
      </c>
      <c r="J209" s="45" t="str">
        <f t="shared" ca="1" si="27"/>
        <v/>
      </c>
      <c r="K209" s="45" t="str">
        <f t="shared" ca="1" si="27"/>
        <v/>
      </c>
      <c r="L209" s="45" t="str">
        <f t="shared" ca="1" si="27"/>
        <v/>
      </c>
      <c r="M209" s="45" t="str">
        <f t="shared" ca="1" si="27"/>
        <v/>
      </c>
      <c r="N209" s="45" t="str">
        <f t="shared" ca="1" si="27"/>
        <v/>
      </c>
      <c r="O209" s="45" t="str">
        <f t="shared" ca="1" si="27"/>
        <v/>
      </c>
      <c r="P209" s="92" t="str">
        <f t="shared" ca="1" si="27"/>
        <v/>
      </c>
      <c r="Q209" s="92" t="str">
        <f t="shared" ca="1" si="26"/>
        <v/>
      </c>
      <c r="R209" s="92" t="str">
        <f t="shared" ca="1" si="26"/>
        <v/>
      </c>
      <c r="S209" s="92" t="str">
        <f t="shared" ca="1" si="26"/>
        <v/>
      </c>
      <c r="T209" s="92" t="str">
        <f t="shared" ca="1" si="26"/>
        <v/>
      </c>
    </row>
    <row r="210" spans="1:20" s="54" customFormat="1" ht="13.5" customHeight="1">
      <c r="A210" s="45" t="str">
        <f t="shared" ca="1" si="27"/>
        <v/>
      </c>
      <c r="B210" s="45" t="str">
        <f t="shared" ca="1" si="27"/>
        <v/>
      </c>
      <c r="C210" s="45" t="str">
        <f t="shared" ca="1" si="27"/>
        <v/>
      </c>
      <c r="D210" s="92" t="str">
        <f t="shared" ca="1" si="27"/>
        <v/>
      </c>
      <c r="E210" s="92" t="str">
        <f t="shared" ca="1" si="27"/>
        <v/>
      </c>
      <c r="F210" s="92" t="str">
        <f t="shared" ca="1" si="27"/>
        <v/>
      </c>
      <c r="G210" s="92" t="str">
        <f t="shared" ca="1" si="27"/>
        <v/>
      </c>
      <c r="H210" s="92" t="str">
        <f t="shared" ca="1" si="27"/>
        <v/>
      </c>
      <c r="I210" s="92" t="str">
        <f t="shared" ca="1" si="27"/>
        <v/>
      </c>
      <c r="J210" s="45" t="str">
        <f t="shared" ca="1" si="27"/>
        <v/>
      </c>
      <c r="K210" s="45" t="str">
        <f t="shared" ca="1" si="27"/>
        <v/>
      </c>
      <c r="L210" s="45" t="str">
        <f t="shared" ca="1" si="27"/>
        <v/>
      </c>
      <c r="M210" s="45" t="str">
        <f t="shared" ca="1" si="27"/>
        <v/>
      </c>
      <c r="N210" s="45" t="str">
        <f t="shared" ca="1" si="27"/>
        <v/>
      </c>
      <c r="O210" s="45" t="str">
        <f t="shared" ca="1" si="27"/>
        <v/>
      </c>
      <c r="P210" s="92" t="str">
        <f t="shared" ca="1" si="27"/>
        <v/>
      </c>
      <c r="Q210" s="92" t="str">
        <f t="shared" ca="1" si="26"/>
        <v/>
      </c>
      <c r="R210" s="92" t="str">
        <f t="shared" ca="1" si="26"/>
        <v/>
      </c>
      <c r="S210" s="92" t="str">
        <f t="shared" ca="1" si="26"/>
        <v/>
      </c>
      <c r="T210" s="92" t="str">
        <f t="shared" ca="1" si="26"/>
        <v/>
      </c>
    </row>
    <row r="211" spans="1:20" s="54" customFormat="1" ht="13.5" customHeight="1">
      <c r="A211" s="45" t="str">
        <f t="shared" ca="1" si="27"/>
        <v/>
      </c>
      <c r="B211" s="45" t="str">
        <f t="shared" ca="1" si="27"/>
        <v/>
      </c>
      <c r="C211" s="45" t="str">
        <f t="shared" ca="1" si="27"/>
        <v/>
      </c>
      <c r="D211" s="92" t="str">
        <f t="shared" ca="1" si="27"/>
        <v/>
      </c>
      <c r="E211" s="92" t="str">
        <f t="shared" ca="1" si="27"/>
        <v/>
      </c>
      <c r="F211" s="92" t="str">
        <f t="shared" ca="1" si="27"/>
        <v/>
      </c>
      <c r="G211" s="92" t="str">
        <f t="shared" ca="1" si="27"/>
        <v/>
      </c>
      <c r="H211" s="92" t="str">
        <f t="shared" ca="1" si="27"/>
        <v/>
      </c>
      <c r="I211" s="92" t="str">
        <f t="shared" ca="1" si="27"/>
        <v/>
      </c>
      <c r="J211" s="45" t="str">
        <f t="shared" ca="1" si="27"/>
        <v/>
      </c>
      <c r="K211" s="45" t="str">
        <f t="shared" ca="1" si="27"/>
        <v/>
      </c>
      <c r="L211" s="45" t="str">
        <f t="shared" ca="1" si="27"/>
        <v/>
      </c>
      <c r="M211" s="45" t="str">
        <f t="shared" ca="1" si="27"/>
        <v/>
      </c>
      <c r="N211" s="45" t="str">
        <f t="shared" ca="1" si="27"/>
        <v/>
      </c>
      <c r="O211" s="45" t="str">
        <f t="shared" ca="1" si="27"/>
        <v/>
      </c>
      <c r="P211" s="92" t="str">
        <f t="shared" ca="1" si="27"/>
        <v/>
      </c>
      <c r="Q211" s="92" t="str">
        <f t="shared" ca="1" si="26"/>
        <v/>
      </c>
      <c r="R211" s="92" t="str">
        <f t="shared" ca="1" si="26"/>
        <v/>
      </c>
      <c r="S211" s="92" t="str">
        <f t="shared" ca="1" si="26"/>
        <v/>
      </c>
      <c r="T211" s="92" t="str">
        <f t="shared" ca="1" si="26"/>
        <v/>
      </c>
    </row>
    <row r="212" spans="1:20" s="54" customFormat="1" ht="13.5" customHeight="1">
      <c r="A212" s="45" t="str">
        <f t="shared" ca="1" si="27"/>
        <v/>
      </c>
      <c r="B212" s="45" t="str">
        <f t="shared" ca="1" si="27"/>
        <v/>
      </c>
      <c r="C212" s="45" t="str">
        <f t="shared" ca="1" si="27"/>
        <v/>
      </c>
      <c r="D212" s="92" t="str">
        <f t="shared" ca="1" si="27"/>
        <v/>
      </c>
      <c r="E212" s="92" t="str">
        <f t="shared" ca="1" si="27"/>
        <v/>
      </c>
      <c r="F212" s="92" t="str">
        <f t="shared" ca="1" si="27"/>
        <v/>
      </c>
      <c r="G212" s="92" t="str">
        <f t="shared" ca="1" si="27"/>
        <v/>
      </c>
      <c r="H212" s="92" t="str">
        <f t="shared" ca="1" si="27"/>
        <v/>
      </c>
      <c r="I212" s="92" t="str">
        <f t="shared" ca="1" si="27"/>
        <v/>
      </c>
      <c r="J212" s="45" t="str">
        <f t="shared" ca="1" si="27"/>
        <v/>
      </c>
      <c r="K212" s="45" t="str">
        <f t="shared" ca="1" si="27"/>
        <v/>
      </c>
      <c r="L212" s="45" t="str">
        <f t="shared" ca="1" si="27"/>
        <v/>
      </c>
      <c r="M212" s="45" t="str">
        <f t="shared" ca="1" si="27"/>
        <v/>
      </c>
      <c r="N212" s="45" t="str">
        <f t="shared" ca="1" si="27"/>
        <v/>
      </c>
      <c r="O212" s="45" t="str">
        <f t="shared" ca="1" si="27"/>
        <v/>
      </c>
      <c r="P212" s="92" t="str">
        <f t="shared" ca="1" si="27"/>
        <v/>
      </c>
      <c r="Q212" s="92" t="str">
        <f t="shared" ca="1" si="26"/>
        <v/>
      </c>
      <c r="R212" s="92" t="str">
        <f t="shared" ca="1" si="26"/>
        <v/>
      </c>
      <c r="S212" s="92" t="str">
        <f t="shared" ca="1" si="26"/>
        <v/>
      </c>
      <c r="T212" s="92" t="str">
        <f t="shared" ca="1" si="26"/>
        <v/>
      </c>
    </row>
    <row r="213" spans="1:20" s="54" customFormat="1" ht="13.5" customHeight="1">
      <c r="A213" s="45" t="str">
        <f t="shared" ca="1" si="27"/>
        <v/>
      </c>
      <c r="B213" s="45" t="str">
        <f t="shared" ca="1" si="27"/>
        <v/>
      </c>
      <c r="C213" s="45" t="str">
        <f t="shared" ca="1" si="27"/>
        <v/>
      </c>
      <c r="D213" s="92" t="str">
        <f t="shared" ca="1" si="27"/>
        <v/>
      </c>
      <c r="E213" s="92" t="str">
        <f t="shared" ca="1" si="27"/>
        <v/>
      </c>
      <c r="F213" s="92" t="str">
        <f t="shared" ca="1" si="27"/>
        <v/>
      </c>
      <c r="G213" s="92" t="str">
        <f t="shared" ca="1" si="27"/>
        <v/>
      </c>
      <c r="H213" s="92" t="str">
        <f t="shared" ca="1" si="27"/>
        <v/>
      </c>
      <c r="I213" s="92" t="str">
        <f t="shared" ca="1" si="27"/>
        <v/>
      </c>
      <c r="J213" s="45" t="str">
        <f t="shared" ca="1" si="27"/>
        <v/>
      </c>
      <c r="K213" s="45" t="str">
        <f t="shared" ca="1" si="27"/>
        <v/>
      </c>
      <c r="L213" s="45" t="str">
        <f t="shared" ca="1" si="27"/>
        <v/>
      </c>
      <c r="M213" s="45" t="str">
        <f t="shared" ca="1" si="27"/>
        <v/>
      </c>
      <c r="N213" s="45" t="str">
        <f t="shared" ca="1" si="27"/>
        <v/>
      </c>
      <c r="O213" s="45" t="str">
        <f t="shared" ca="1" si="27"/>
        <v/>
      </c>
      <c r="P213" s="92" t="str">
        <f t="shared" ca="1" si="27"/>
        <v/>
      </c>
      <c r="Q213" s="92" t="str">
        <f t="shared" ca="1" si="26"/>
        <v/>
      </c>
      <c r="R213" s="92" t="str">
        <f t="shared" ca="1" si="26"/>
        <v/>
      </c>
      <c r="S213" s="92" t="str">
        <f t="shared" ca="1" si="26"/>
        <v/>
      </c>
      <c r="T213" s="92" t="str">
        <f t="shared" ca="1" si="26"/>
        <v/>
      </c>
    </row>
    <row r="214" spans="1:20" s="54" customFormat="1" ht="13.5" customHeight="1">
      <c r="A214" s="45" t="str">
        <f t="shared" ca="1" si="27"/>
        <v/>
      </c>
      <c r="B214" s="45" t="str">
        <f t="shared" ca="1" si="27"/>
        <v/>
      </c>
      <c r="C214" s="45" t="str">
        <f t="shared" ca="1" si="27"/>
        <v/>
      </c>
      <c r="D214" s="92" t="str">
        <f t="shared" ca="1" si="27"/>
        <v/>
      </c>
      <c r="E214" s="92" t="str">
        <f t="shared" ca="1" si="27"/>
        <v/>
      </c>
      <c r="F214" s="92" t="str">
        <f t="shared" ca="1" si="27"/>
        <v/>
      </c>
      <c r="G214" s="92" t="str">
        <f t="shared" ca="1" si="27"/>
        <v/>
      </c>
      <c r="H214" s="92" t="str">
        <f t="shared" ca="1" si="27"/>
        <v/>
      </c>
      <c r="I214" s="92" t="str">
        <f t="shared" ca="1" si="27"/>
        <v/>
      </c>
      <c r="J214" s="45" t="str">
        <f t="shared" ca="1" si="27"/>
        <v/>
      </c>
      <c r="K214" s="45" t="str">
        <f t="shared" ca="1" si="27"/>
        <v/>
      </c>
      <c r="L214" s="45" t="str">
        <f t="shared" ca="1" si="27"/>
        <v/>
      </c>
      <c r="M214" s="45" t="str">
        <f t="shared" ca="1" si="27"/>
        <v/>
      </c>
      <c r="N214" s="45" t="str">
        <f t="shared" ca="1" si="27"/>
        <v/>
      </c>
      <c r="O214" s="45" t="str">
        <f t="shared" ca="1" si="27"/>
        <v/>
      </c>
      <c r="P214" s="92" t="str">
        <f t="shared" ca="1" si="27"/>
        <v/>
      </c>
      <c r="Q214" s="92" t="str">
        <f t="shared" ca="1" si="26"/>
        <v/>
      </c>
      <c r="R214" s="92" t="str">
        <f t="shared" ca="1" si="26"/>
        <v/>
      </c>
      <c r="S214" s="92" t="str">
        <f t="shared" ca="1" si="26"/>
        <v/>
      </c>
      <c r="T214" s="92" t="str">
        <f t="shared" ca="1" si="26"/>
        <v/>
      </c>
    </row>
    <row r="215" spans="1:20" s="54" customFormat="1" ht="13.5" customHeight="1">
      <c r="A215" s="45" t="str">
        <f t="shared" ca="1" si="27"/>
        <v/>
      </c>
      <c r="B215" s="45" t="str">
        <f t="shared" ca="1" si="27"/>
        <v/>
      </c>
      <c r="C215" s="45" t="str">
        <f t="shared" ca="1" si="27"/>
        <v/>
      </c>
      <c r="D215" s="92" t="str">
        <f t="shared" ca="1" si="27"/>
        <v/>
      </c>
      <c r="E215" s="92" t="str">
        <f t="shared" ca="1" si="27"/>
        <v/>
      </c>
      <c r="F215" s="92" t="str">
        <f t="shared" ca="1" si="27"/>
        <v/>
      </c>
      <c r="G215" s="92" t="str">
        <f t="shared" ca="1" si="27"/>
        <v/>
      </c>
      <c r="H215" s="92" t="str">
        <f t="shared" ca="1" si="27"/>
        <v/>
      </c>
      <c r="I215" s="92" t="str">
        <f t="shared" ca="1" si="27"/>
        <v/>
      </c>
      <c r="J215" s="45" t="str">
        <f t="shared" ca="1" si="27"/>
        <v/>
      </c>
      <c r="K215" s="45" t="str">
        <f t="shared" ca="1" si="27"/>
        <v/>
      </c>
      <c r="L215" s="45" t="str">
        <f t="shared" ca="1" si="27"/>
        <v/>
      </c>
      <c r="M215" s="45" t="str">
        <f t="shared" ca="1" si="27"/>
        <v/>
      </c>
      <c r="N215" s="45" t="str">
        <f t="shared" ca="1" si="27"/>
        <v/>
      </c>
      <c r="O215" s="45" t="str">
        <f t="shared" ca="1" si="27"/>
        <v/>
      </c>
      <c r="P215" s="92" t="str">
        <f t="shared" ca="1" si="27"/>
        <v/>
      </c>
      <c r="Q215" s="92" t="str">
        <f t="shared" ca="1" si="26"/>
        <v/>
      </c>
      <c r="R215" s="92" t="str">
        <f t="shared" ca="1" si="26"/>
        <v/>
      </c>
      <c r="S215" s="92" t="str">
        <f t="shared" ca="1" si="26"/>
        <v/>
      </c>
      <c r="T215" s="92" t="str">
        <f t="shared" ca="1" si="26"/>
        <v/>
      </c>
    </row>
    <row r="216" spans="1:20" s="54" customFormat="1" ht="13.5" customHeight="1">
      <c r="A216" s="45" t="str">
        <f t="shared" ca="1" si="27"/>
        <v/>
      </c>
      <c r="B216" s="45" t="str">
        <f t="shared" ca="1" si="27"/>
        <v/>
      </c>
      <c r="C216" s="45" t="str">
        <f t="shared" ca="1" si="27"/>
        <v/>
      </c>
      <c r="D216" s="92" t="str">
        <f t="shared" ca="1" si="27"/>
        <v/>
      </c>
      <c r="E216" s="92" t="str">
        <f t="shared" ca="1" si="27"/>
        <v/>
      </c>
      <c r="F216" s="92" t="str">
        <f t="shared" ca="1" si="27"/>
        <v/>
      </c>
      <c r="G216" s="92" t="str">
        <f t="shared" ca="1" si="27"/>
        <v/>
      </c>
      <c r="H216" s="92" t="str">
        <f t="shared" ca="1" si="27"/>
        <v/>
      </c>
      <c r="I216" s="92" t="str">
        <f t="shared" ca="1" si="27"/>
        <v/>
      </c>
      <c r="J216" s="45" t="str">
        <f t="shared" ca="1" si="27"/>
        <v/>
      </c>
      <c r="K216" s="45" t="str">
        <f t="shared" ca="1" si="27"/>
        <v/>
      </c>
      <c r="L216" s="45" t="str">
        <f t="shared" ca="1" si="27"/>
        <v/>
      </c>
      <c r="M216" s="45" t="str">
        <f t="shared" ca="1" si="27"/>
        <v/>
      </c>
      <c r="N216" s="45" t="str">
        <f t="shared" ca="1" si="27"/>
        <v/>
      </c>
      <c r="O216" s="45" t="str">
        <f t="shared" ca="1" si="27"/>
        <v/>
      </c>
      <c r="P216" s="92" t="str">
        <f t="shared" ca="1" si="27"/>
        <v/>
      </c>
      <c r="Q216" s="92" t="str">
        <f t="shared" ca="1" si="26"/>
        <v/>
      </c>
      <c r="R216" s="92" t="str">
        <f t="shared" ca="1" si="26"/>
        <v/>
      </c>
      <c r="S216" s="92" t="str">
        <f t="shared" ca="1" si="26"/>
        <v/>
      </c>
      <c r="T216" s="92" t="str">
        <f t="shared" ca="1" si="26"/>
        <v/>
      </c>
    </row>
    <row r="217" spans="1:20" s="54" customFormat="1" ht="13.5" customHeight="1">
      <c r="A217" s="45" t="str">
        <f t="shared" ca="1" si="27"/>
        <v/>
      </c>
      <c r="B217" s="45" t="str">
        <f t="shared" ca="1" si="27"/>
        <v/>
      </c>
      <c r="C217" s="45" t="str">
        <f t="shared" ca="1" si="27"/>
        <v/>
      </c>
      <c r="D217" s="92" t="str">
        <f t="shared" ca="1" si="27"/>
        <v/>
      </c>
      <c r="E217" s="92" t="str">
        <f t="shared" ca="1" si="27"/>
        <v/>
      </c>
      <c r="F217" s="92" t="str">
        <f t="shared" ca="1" si="27"/>
        <v/>
      </c>
      <c r="G217" s="92" t="str">
        <f t="shared" ca="1" si="27"/>
        <v/>
      </c>
      <c r="H217" s="92" t="str">
        <f t="shared" ca="1" si="27"/>
        <v/>
      </c>
      <c r="I217" s="92" t="str">
        <f t="shared" ca="1" si="27"/>
        <v/>
      </c>
      <c r="J217" s="45" t="str">
        <f t="shared" ca="1" si="27"/>
        <v/>
      </c>
      <c r="K217" s="45" t="str">
        <f t="shared" ca="1" si="27"/>
        <v/>
      </c>
      <c r="L217" s="45" t="str">
        <f t="shared" ca="1" si="27"/>
        <v/>
      </c>
      <c r="M217" s="45" t="str">
        <f t="shared" ca="1" si="27"/>
        <v/>
      </c>
      <c r="N217" s="45" t="str">
        <f t="shared" ca="1" si="27"/>
        <v/>
      </c>
      <c r="O217" s="45" t="str">
        <f t="shared" ca="1" si="27"/>
        <v/>
      </c>
      <c r="P217" s="92" t="str">
        <f t="shared" ca="1" si="27"/>
        <v/>
      </c>
      <c r="Q217" s="92" t="str">
        <f t="shared" ca="1" si="26"/>
        <v/>
      </c>
      <c r="R217" s="92" t="str">
        <f t="shared" ca="1" si="26"/>
        <v/>
      </c>
      <c r="S217" s="92" t="str">
        <f t="shared" ca="1" si="26"/>
        <v/>
      </c>
      <c r="T217" s="92" t="str">
        <f t="shared" ca="1" si="26"/>
        <v/>
      </c>
    </row>
    <row r="218" spans="1:20" s="54" customFormat="1" ht="13.5" customHeight="1">
      <c r="A218" s="45" t="str">
        <f t="shared" ca="1" si="27"/>
        <v/>
      </c>
      <c r="B218" s="45" t="str">
        <f t="shared" ca="1" si="27"/>
        <v/>
      </c>
      <c r="C218" s="45" t="str">
        <f t="shared" ca="1" si="27"/>
        <v/>
      </c>
      <c r="D218" s="92" t="str">
        <f t="shared" ca="1" si="27"/>
        <v/>
      </c>
      <c r="E218" s="92" t="str">
        <f t="shared" ca="1" si="27"/>
        <v/>
      </c>
      <c r="F218" s="92" t="str">
        <f t="shared" ca="1" si="27"/>
        <v/>
      </c>
      <c r="G218" s="92" t="str">
        <f t="shared" ca="1" si="27"/>
        <v/>
      </c>
      <c r="H218" s="92" t="str">
        <f t="shared" ca="1" si="27"/>
        <v/>
      </c>
      <c r="I218" s="92" t="str">
        <f t="shared" ca="1" si="27"/>
        <v/>
      </c>
      <c r="J218" s="45" t="str">
        <f t="shared" ca="1" si="27"/>
        <v/>
      </c>
      <c r="K218" s="45" t="str">
        <f t="shared" ca="1" si="27"/>
        <v/>
      </c>
      <c r="L218" s="45" t="str">
        <f t="shared" ca="1" si="27"/>
        <v/>
      </c>
      <c r="M218" s="45" t="str">
        <f t="shared" ca="1" si="27"/>
        <v/>
      </c>
      <c r="N218" s="45" t="str">
        <f t="shared" ca="1" si="27"/>
        <v/>
      </c>
      <c r="O218" s="45" t="str">
        <f t="shared" ca="1" si="27"/>
        <v/>
      </c>
      <c r="P218" s="92" t="str">
        <f t="shared" ca="1" si="27"/>
        <v/>
      </c>
      <c r="Q218" s="92" t="str">
        <f t="shared" ca="1" si="26"/>
        <v/>
      </c>
      <c r="R218" s="92" t="str">
        <f t="shared" ca="1" si="26"/>
        <v/>
      </c>
      <c r="S218" s="92" t="str">
        <f t="shared" ca="1" si="26"/>
        <v/>
      </c>
      <c r="T218" s="92" t="str">
        <f t="shared" ca="1" si="26"/>
        <v/>
      </c>
    </row>
    <row r="219" spans="1:20" s="54" customFormat="1" ht="13.5" customHeight="1">
      <c r="A219" s="45" t="str">
        <f t="shared" ca="1" si="27"/>
        <v/>
      </c>
      <c r="B219" s="45" t="str">
        <f t="shared" ca="1" si="27"/>
        <v/>
      </c>
      <c r="C219" s="45" t="str">
        <f t="shared" ca="1" si="27"/>
        <v/>
      </c>
      <c r="D219" s="92" t="str">
        <f t="shared" ca="1" si="27"/>
        <v/>
      </c>
      <c r="E219" s="92" t="str">
        <f t="shared" ca="1" si="27"/>
        <v/>
      </c>
      <c r="F219" s="92" t="str">
        <f t="shared" ca="1" si="27"/>
        <v/>
      </c>
      <c r="G219" s="92" t="str">
        <f t="shared" ca="1" si="27"/>
        <v/>
      </c>
      <c r="H219" s="92" t="str">
        <f t="shared" ca="1" si="27"/>
        <v/>
      </c>
      <c r="I219" s="92" t="str">
        <f t="shared" ca="1" si="27"/>
        <v/>
      </c>
      <c r="J219" s="45" t="str">
        <f t="shared" ca="1" si="27"/>
        <v/>
      </c>
      <c r="K219" s="45" t="str">
        <f t="shared" ca="1" si="27"/>
        <v/>
      </c>
      <c r="L219" s="45" t="str">
        <f t="shared" ca="1" si="27"/>
        <v/>
      </c>
      <c r="M219" s="45" t="str">
        <f t="shared" ca="1" si="27"/>
        <v/>
      </c>
      <c r="N219" s="45" t="str">
        <f t="shared" ca="1" si="27"/>
        <v/>
      </c>
      <c r="O219" s="45" t="str">
        <f t="shared" ca="1" si="27"/>
        <v/>
      </c>
      <c r="P219" s="92" t="str">
        <f t="shared" ca="1" si="27"/>
        <v/>
      </c>
      <c r="Q219" s="92" t="str">
        <f t="shared" ca="1" si="26"/>
        <v/>
      </c>
      <c r="R219" s="92" t="str">
        <f t="shared" ca="1" si="26"/>
        <v/>
      </c>
      <c r="S219" s="92" t="str">
        <f t="shared" ca="1" si="26"/>
        <v/>
      </c>
      <c r="T219" s="92" t="str">
        <f t="shared" ca="1" si="26"/>
        <v/>
      </c>
    </row>
    <row r="220" spans="1:20" s="54" customFormat="1" ht="13.5" customHeight="1">
      <c r="A220" s="45" t="str">
        <f t="shared" ca="1" si="27"/>
        <v/>
      </c>
      <c r="B220" s="45" t="str">
        <f t="shared" ca="1" si="27"/>
        <v/>
      </c>
      <c r="C220" s="45" t="str">
        <f t="shared" ca="1" si="27"/>
        <v/>
      </c>
      <c r="D220" s="92" t="str">
        <f t="shared" ca="1" si="27"/>
        <v/>
      </c>
      <c r="E220" s="92" t="str">
        <f t="shared" ca="1" si="27"/>
        <v/>
      </c>
      <c r="F220" s="92" t="str">
        <f t="shared" ca="1" si="27"/>
        <v/>
      </c>
      <c r="G220" s="92" t="str">
        <f t="shared" ca="1" si="27"/>
        <v/>
      </c>
      <c r="H220" s="92" t="str">
        <f t="shared" ca="1" si="27"/>
        <v/>
      </c>
      <c r="I220" s="92" t="str">
        <f t="shared" ca="1" si="27"/>
        <v/>
      </c>
      <c r="J220" s="45" t="str">
        <f t="shared" ca="1" si="27"/>
        <v/>
      </c>
      <c r="K220" s="45" t="str">
        <f t="shared" ca="1" si="27"/>
        <v/>
      </c>
      <c r="L220" s="45" t="str">
        <f t="shared" ca="1" si="27"/>
        <v/>
      </c>
      <c r="M220" s="45" t="str">
        <f t="shared" ca="1" si="27"/>
        <v/>
      </c>
      <c r="N220" s="45" t="str">
        <f t="shared" ca="1" si="27"/>
        <v/>
      </c>
      <c r="O220" s="45" t="str">
        <f t="shared" ca="1" si="27"/>
        <v/>
      </c>
      <c r="P220" s="92" t="str">
        <f t="shared" ref="P220:T231" ca="1" si="28">IF(INDIRECT("제작의뢰서!"&amp;ADDRESS(ROW(),COLUMN()))="","",INDIRECT("제작의뢰서!"&amp;ADDRESS(ROW(),COLUMN())))</f>
        <v/>
      </c>
      <c r="Q220" s="92" t="str">
        <f t="shared" ca="1" si="28"/>
        <v/>
      </c>
      <c r="R220" s="92" t="str">
        <f t="shared" ca="1" si="28"/>
        <v/>
      </c>
      <c r="S220" s="92" t="str">
        <f t="shared" ca="1" si="28"/>
        <v/>
      </c>
      <c r="T220" s="92" t="str">
        <f t="shared" ca="1" si="28"/>
        <v/>
      </c>
    </row>
    <row r="221" spans="1:20" s="54" customFormat="1" ht="13.5" customHeight="1">
      <c r="A221" s="45" t="str">
        <f t="shared" ref="A221:P231" ca="1" si="29">IF(INDIRECT("제작의뢰서!"&amp;ADDRESS(ROW(),COLUMN()))="","",INDIRECT("제작의뢰서!"&amp;ADDRESS(ROW(),COLUMN())))</f>
        <v/>
      </c>
      <c r="B221" s="45" t="str">
        <f t="shared" ca="1" si="29"/>
        <v/>
      </c>
      <c r="C221" s="45" t="str">
        <f t="shared" ca="1" si="29"/>
        <v/>
      </c>
      <c r="D221" s="92" t="str">
        <f t="shared" ca="1" si="29"/>
        <v/>
      </c>
      <c r="E221" s="92" t="str">
        <f t="shared" ca="1" si="29"/>
        <v/>
      </c>
      <c r="F221" s="92" t="str">
        <f t="shared" ca="1" si="29"/>
        <v/>
      </c>
      <c r="G221" s="92" t="str">
        <f t="shared" ca="1" si="29"/>
        <v/>
      </c>
      <c r="H221" s="92" t="str">
        <f t="shared" ca="1" si="29"/>
        <v/>
      </c>
      <c r="I221" s="92" t="str">
        <f t="shared" ca="1" si="29"/>
        <v/>
      </c>
      <c r="J221" s="45" t="str">
        <f t="shared" ca="1" si="29"/>
        <v/>
      </c>
      <c r="K221" s="45" t="str">
        <f t="shared" ca="1" si="29"/>
        <v/>
      </c>
      <c r="L221" s="45" t="str">
        <f t="shared" ca="1" si="29"/>
        <v/>
      </c>
      <c r="M221" s="45" t="str">
        <f t="shared" ca="1" si="29"/>
        <v/>
      </c>
      <c r="N221" s="45" t="str">
        <f t="shared" ca="1" si="29"/>
        <v/>
      </c>
      <c r="O221" s="45" t="str">
        <f t="shared" ca="1" si="29"/>
        <v/>
      </c>
      <c r="P221" s="92" t="str">
        <f t="shared" ca="1" si="29"/>
        <v/>
      </c>
      <c r="Q221" s="92" t="str">
        <f t="shared" ca="1" si="28"/>
        <v/>
      </c>
      <c r="R221" s="92" t="str">
        <f t="shared" ca="1" si="28"/>
        <v/>
      </c>
      <c r="S221" s="92" t="str">
        <f t="shared" ca="1" si="28"/>
        <v/>
      </c>
      <c r="T221" s="92" t="str">
        <f t="shared" ca="1" si="28"/>
        <v/>
      </c>
    </row>
    <row r="222" spans="1:20" s="54" customFormat="1" ht="13.5" customHeight="1">
      <c r="A222" s="45" t="str">
        <f t="shared" ca="1" si="29"/>
        <v/>
      </c>
      <c r="B222" s="45" t="str">
        <f t="shared" ca="1" si="29"/>
        <v/>
      </c>
      <c r="C222" s="45" t="str">
        <f t="shared" ca="1" si="29"/>
        <v/>
      </c>
      <c r="D222" s="92" t="str">
        <f t="shared" ca="1" si="29"/>
        <v/>
      </c>
      <c r="E222" s="92" t="str">
        <f t="shared" ca="1" si="29"/>
        <v/>
      </c>
      <c r="F222" s="92" t="str">
        <f t="shared" ca="1" si="29"/>
        <v/>
      </c>
      <c r="G222" s="92" t="str">
        <f t="shared" ca="1" si="29"/>
        <v/>
      </c>
      <c r="H222" s="92" t="str">
        <f t="shared" ca="1" si="29"/>
        <v/>
      </c>
      <c r="I222" s="92" t="str">
        <f t="shared" ca="1" si="29"/>
        <v/>
      </c>
      <c r="J222" s="45" t="str">
        <f t="shared" ca="1" si="29"/>
        <v/>
      </c>
      <c r="K222" s="45" t="str">
        <f t="shared" ca="1" si="29"/>
        <v/>
      </c>
      <c r="L222" s="45" t="str">
        <f t="shared" ca="1" si="29"/>
        <v/>
      </c>
      <c r="M222" s="45" t="str">
        <f t="shared" ca="1" si="29"/>
        <v/>
      </c>
      <c r="N222" s="45" t="str">
        <f t="shared" ca="1" si="29"/>
        <v/>
      </c>
      <c r="O222" s="45" t="str">
        <f t="shared" ca="1" si="29"/>
        <v/>
      </c>
      <c r="P222" s="92" t="str">
        <f t="shared" ca="1" si="29"/>
        <v/>
      </c>
      <c r="Q222" s="92" t="str">
        <f t="shared" ca="1" si="28"/>
        <v/>
      </c>
      <c r="R222" s="92" t="str">
        <f t="shared" ca="1" si="28"/>
        <v/>
      </c>
      <c r="S222" s="92" t="str">
        <f t="shared" ca="1" si="28"/>
        <v/>
      </c>
      <c r="T222" s="92" t="str">
        <f t="shared" ca="1" si="28"/>
        <v/>
      </c>
    </row>
    <row r="223" spans="1:20" s="54" customFormat="1" ht="13.5" customHeight="1">
      <c r="A223" s="45" t="str">
        <f t="shared" ca="1" si="29"/>
        <v/>
      </c>
      <c r="B223" s="45" t="str">
        <f t="shared" ca="1" si="29"/>
        <v/>
      </c>
      <c r="C223" s="45" t="str">
        <f t="shared" ca="1" si="29"/>
        <v/>
      </c>
      <c r="D223" s="92" t="str">
        <f t="shared" ca="1" si="29"/>
        <v/>
      </c>
      <c r="E223" s="92" t="str">
        <f t="shared" ca="1" si="29"/>
        <v/>
      </c>
      <c r="F223" s="92" t="str">
        <f t="shared" ca="1" si="29"/>
        <v/>
      </c>
      <c r="G223" s="92" t="str">
        <f t="shared" ca="1" si="29"/>
        <v/>
      </c>
      <c r="H223" s="92" t="str">
        <f t="shared" ca="1" si="29"/>
        <v/>
      </c>
      <c r="I223" s="92" t="str">
        <f t="shared" ca="1" si="29"/>
        <v/>
      </c>
      <c r="J223" s="45" t="str">
        <f t="shared" ca="1" si="29"/>
        <v/>
      </c>
      <c r="K223" s="45" t="str">
        <f t="shared" ca="1" si="29"/>
        <v/>
      </c>
      <c r="L223" s="45" t="str">
        <f t="shared" ca="1" si="29"/>
        <v/>
      </c>
      <c r="M223" s="45" t="str">
        <f t="shared" ca="1" si="29"/>
        <v/>
      </c>
      <c r="N223" s="45" t="str">
        <f t="shared" ca="1" si="29"/>
        <v/>
      </c>
      <c r="O223" s="45" t="str">
        <f t="shared" ca="1" si="29"/>
        <v/>
      </c>
      <c r="P223" s="92" t="str">
        <f t="shared" ca="1" si="29"/>
        <v/>
      </c>
      <c r="Q223" s="92" t="str">
        <f t="shared" ca="1" si="28"/>
        <v/>
      </c>
      <c r="R223" s="92" t="str">
        <f t="shared" ca="1" si="28"/>
        <v/>
      </c>
      <c r="S223" s="92" t="str">
        <f t="shared" ca="1" si="28"/>
        <v/>
      </c>
      <c r="T223" s="92" t="str">
        <f t="shared" ca="1" si="28"/>
        <v/>
      </c>
    </row>
    <row r="224" spans="1:20" s="54" customFormat="1" ht="13.5" customHeight="1">
      <c r="A224" s="45" t="str">
        <f t="shared" ca="1" si="29"/>
        <v/>
      </c>
      <c r="B224" s="45" t="str">
        <f t="shared" ca="1" si="29"/>
        <v/>
      </c>
      <c r="C224" s="45" t="str">
        <f t="shared" ca="1" si="29"/>
        <v/>
      </c>
      <c r="D224" s="92" t="str">
        <f t="shared" ca="1" si="29"/>
        <v/>
      </c>
      <c r="E224" s="92" t="str">
        <f t="shared" ca="1" si="29"/>
        <v/>
      </c>
      <c r="F224" s="92" t="str">
        <f t="shared" ca="1" si="29"/>
        <v/>
      </c>
      <c r="G224" s="92" t="str">
        <f t="shared" ca="1" si="29"/>
        <v/>
      </c>
      <c r="H224" s="92" t="str">
        <f t="shared" ca="1" si="29"/>
        <v/>
      </c>
      <c r="I224" s="92" t="str">
        <f t="shared" ca="1" si="29"/>
        <v/>
      </c>
      <c r="J224" s="45" t="str">
        <f t="shared" ca="1" si="29"/>
        <v/>
      </c>
      <c r="K224" s="45" t="str">
        <f t="shared" ca="1" si="29"/>
        <v/>
      </c>
      <c r="L224" s="45" t="str">
        <f t="shared" ca="1" si="29"/>
        <v/>
      </c>
      <c r="M224" s="45" t="str">
        <f t="shared" ca="1" si="29"/>
        <v/>
      </c>
      <c r="N224" s="45" t="str">
        <f t="shared" ca="1" si="29"/>
        <v/>
      </c>
      <c r="O224" s="45" t="str">
        <f t="shared" ca="1" si="29"/>
        <v/>
      </c>
      <c r="P224" s="92" t="str">
        <f t="shared" ca="1" si="29"/>
        <v/>
      </c>
      <c r="Q224" s="92" t="str">
        <f t="shared" ca="1" si="28"/>
        <v/>
      </c>
      <c r="R224" s="92" t="str">
        <f t="shared" ca="1" si="28"/>
        <v/>
      </c>
      <c r="S224" s="92" t="str">
        <f t="shared" ca="1" si="28"/>
        <v/>
      </c>
      <c r="T224" s="92" t="str">
        <f t="shared" ca="1" si="28"/>
        <v/>
      </c>
    </row>
    <row r="225" spans="1:32" s="54" customFormat="1" ht="13.5" customHeight="1">
      <c r="A225" s="45" t="str">
        <f t="shared" ca="1" si="29"/>
        <v/>
      </c>
      <c r="B225" s="45" t="str">
        <f t="shared" ca="1" si="29"/>
        <v/>
      </c>
      <c r="C225" s="45" t="str">
        <f t="shared" ca="1" si="29"/>
        <v/>
      </c>
      <c r="D225" s="92" t="str">
        <f t="shared" ca="1" si="29"/>
        <v/>
      </c>
      <c r="E225" s="92" t="str">
        <f t="shared" ca="1" si="29"/>
        <v/>
      </c>
      <c r="F225" s="92" t="str">
        <f t="shared" ca="1" si="29"/>
        <v/>
      </c>
      <c r="G225" s="92" t="str">
        <f t="shared" ca="1" si="29"/>
        <v/>
      </c>
      <c r="H225" s="92" t="str">
        <f t="shared" ca="1" si="29"/>
        <v/>
      </c>
      <c r="I225" s="92" t="str">
        <f t="shared" ca="1" si="29"/>
        <v/>
      </c>
      <c r="J225" s="45" t="str">
        <f t="shared" ca="1" si="29"/>
        <v/>
      </c>
      <c r="K225" s="45" t="str">
        <f t="shared" ca="1" si="29"/>
        <v/>
      </c>
      <c r="L225" s="45" t="str">
        <f t="shared" ca="1" si="29"/>
        <v/>
      </c>
      <c r="M225" s="45" t="str">
        <f t="shared" ca="1" si="29"/>
        <v/>
      </c>
      <c r="N225" s="45" t="str">
        <f t="shared" ca="1" si="29"/>
        <v/>
      </c>
      <c r="O225" s="45" t="str">
        <f t="shared" ca="1" si="29"/>
        <v/>
      </c>
      <c r="P225" s="92" t="str">
        <f t="shared" ca="1" si="29"/>
        <v/>
      </c>
      <c r="Q225" s="92" t="str">
        <f t="shared" ca="1" si="28"/>
        <v/>
      </c>
      <c r="R225" s="92" t="str">
        <f t="shared" ca="1" si="28"/>
        <v/>
      </c>
      <c r="S225" s="92" t="str">
        <f t="shared" ca="1" si="28"/>
        <v/>
      </c>
      <c r="T225" s="92" t="str">
        <f t="shared" ca="1" si="28"/>
        <v/>
      </c>
    </row>
    <row r="226" spans="1:32" s="54" customFormat="1" ht="13.5" customHeight="1">
      <c r="A226" s="45" t="str">
        <f t="shared" ca="1" si="29"/>
        <v/>
      </c>
      <c r="B226" s="45" t="str">
        <f t="shared" ca="1" si="29"/>
        <v/>
      </c>
      <c r="C226" s="45" t="str">
        <f t="shared" ca="1" si="29"/>
        <v/>
      </c>
      <c r="D226" s="92" t="str">
        <f t="shared" ca="1" si="29"/>
        <v/>
      </c>
      <c r="E226" s="92" t="str">
        <f t="shared" ca="1" si="29"/>
        <v/>
      </c>
      <c r="F226" s="92" t="str">
        <f t="shared" ca="1" si="29"/>
        <v/>
      </c>
      <c r="G226" s="92" t="str">
        <f t="shared" ca="1" si="29"/>
        <v/>
      </c>
      <c r="H226" s="92" t="str">
        <f t="shared" ca="1" si="29"/>
        <v/>
      </c>
      <c r="I226" s="92" t="str">
        <f t="shared" ca="1" si="29"/>
        <v/>
      </c>
      <c r="J226" s="45" t="str">
        <f t="shared" ca="1" si="29"/>
        <v/>
      </c>
      <c r="K226" s="45" t="str">
        <f t="shared" ca="1" si="29"/>
        <v/>
      </c>
      <c r="L226" s="45" t="str">
        <f t="shared" ca="1" si="29"/>
        <v/>
      </c>
      <c r="M226" s="45" t="str">
        <f t="shared" ca="1" si="29"/>
        <v/>
      </c>
      <c r="N226" s="45" t="str">
        <f t="shared" ca="1" si="29"/>
        <v/>
      </c>
      <c r="O226" s="45" t="str">
        <f t="shared" ca="1" si="29"/>
        <v/>
      </c>
      <c r="P226" s="92" t="str">
        <f t="shared" ca="1" si="29"/>
        <v/>
      </c>
      <c r="Q226" s="92" t="str">
        <f t="shared" ca="1" si="28"/>
        <v/>
      </c>
      <c r="R226" s="92" t="str">
        <f t="shared" ca="1" si="28"/>
        <v/>
      </c>
      <c r="S226" s="92" t="str">
        <f t="shared" ca="1" si="28"/>
        <v/>
      </c>
      <c r="T226" s="92" t="str">
        <f t="shared" ca="1" si="28"/>
        <v/>
      </c>
    </row>
    <row r="227" spans="1:32" s="54" customFormat="1" ht="13.5" customHeight="1">
      <c r="A227" s="45" t="str">
        <f t="shared" ca="1" si="29"/>
        <v/>
      </c>
      <c r="B227" s="45" t="str">
        <f t="shared" ca="1" si="29"/>
        <v/>
      </c>
      <c r="C227" s="45" t="str">
        <f t="shared" ca="1" si="29"/>
        <v/>
      </c>
      <c r="D227" s="92" t="str">
        <f t="shared" ca="1" si="29"/>
        <v/>
      </c>
      <c r="E227" s="92" t="str">
        <f t="shared" ca="1" si="29"/>
        <v/>
      </c>
      <c r="F227" s="92" t="str">
        <f t="shared" ca="1" si="29"/>
        <v/>
      </c>
      <c r="G227" s="92" t="str">
        <f t="shared" ca="1" si="29"/>
        <v/>
      </c>
      <c r="H227" s="92" t="str">
        <f t="shared" ca="1" si="29"/>
        <v/>
      </c>
      <c r="I227" s="92" t="str">
        <f t="shared" ca="1" si="29"/>
        <v/>
      </c>
      <c r="J227" s="45" t="str">
        <f t="shared" ca="1" si="29"/>
        <v/>
      </c>
      <c r="K227" s="45" t="str">
        <f t="shared" ca="1" si="29"/>
        <v/>
      </c>
      <c r="L227" s="45" t="str">
        <f t="shared" ca="1" si="29"/>
        <v/>
      </c>
      <c r="M227" s="45" t="str">
        <f t="shared" ca="1" si="29"/>
        <v/>
      </c>
      <c r="N227" s="45" t="str">
        <f t="shared" ca="1" si="29"/>
        <v/>
      </c>
      <c r="O227" s="45" t="str">
        <f t="shared" ca="1" si="29"/>
        <v/>
      </c>
      <c r="P227" s="92" t="str">
        <f t="shared" ca="1" si="29"/>
        <v/>
      </c>
      <c r="Q227" s="92" t="str">
        <f t="shared" ca="1" si="28"/>
        <v/>
      </c>
      <c r="R227" s="92" t="str">
        <f t="shared" ca="1" si="28"/>
        <v/>
      </c>
      <c r="S227" s="92" t="str">
        <f t="shared" ca="1" si="28"/>
        <v/>
      </c>
      <c r="T227" s="92" t="str">
        <f t="shared" ca="1" si="28"/>
        <v/>
      </c>
    </row>
    <row r="228" spans="1:32" s="54" customFormat="1" ht="13.5" customHeight="1">
      <c r="A228" s="45" t="str">
        <f t="shared" ca="1" si="29"/>
        <v/>
      </c>
      <c r="B228" s="45" t="str">
        <f t="shared" ca="1" si="29"/>
        <v/>
      </c>
      <c r="C228" s="45" t="str">
        <f t="shared" ca="1" si="29"/>
        <v/>
      </c>
      <c r="D228" s="92" t="str">
        <f t="shared" ca="1" si="29"/>
        <v/>
      </c>
      <c r="E228" s="92" t="str">
        <f t="shared" ca="1" si="29"/>
        <v/>
      </c>
      <c r="F228" s="92" t="str">
        <f t="shared" ca="1" si="29"/>
        <v/>
      </c>
      <c r="G228" s="92" t="str">
        <f t="shared" ca="1" si="29"/>
        <v/>
      </c>
      <c r="H228" s="92" t="str">
        <f t="shared" ca="1" si="29"/>
        <v/>
      </c>
      <c r="I228" s="92" t="str">
        <f t="shared" ca="1" si="29"/>
        <v/>
      </c>
      <c r="J228" s="45" t="str">
        <f t="shared" ca="1" si="29"/>
        <v/>
      </c>
      <c r="K228" s="45" t="str">
        <f t="shared" ca="1" si="29"/>
        <v/>
      </c>
      <c r="L228" s="45" t="str">
        <f t="shared" ca="1" si="29"/>
        <v/>
      </c>
      <c r="M228" s="45" t="str">
        <f t="shared" ca="1" si="29"/>
        <v/>
      </c>
      <c r="N228" s="45" t="str">
        <f t="shared" ca="1" si="29"/>
        <v/>
      </c>
      <c r="O228" s="45" t="str">
        <f t="shared" ca="1" si="29"/>
        <v/>
      </c>
      <c r="P228" s="92" t="str">
        <f t="shared" ca="1" si="29"/>
        <v/>
      </c>
      <c r="Q228" s="92" t="str">
        <f t="shared" ca="1" si="28"/>
        <v/>
      </c>
      <c r="R228" s="92" t="str">
        <f t="shared" ca="1" si="28"/>
        <v/>
      </c>
      <c r="S228" s="92" t="str">
        <f t="shared" ca="1" si="28"/>
        <v/>
      </c>
      <c r="T228" s="92" t="str">
        <f t="shared" ca="1" si="28"/>
        <v/>
      </c>
    </row>
    <row r="229" spans="1:32" s="54" customFormat="1" ht="13.5" customHeight="1">
      <c r="A229" s="45" t="str">
        <f t="shared" ca="1" si="29"/>
        <v/>
      </c>
      <c r="B229" s="45" t="str">
        <f t="shared" ca="1" si="29"/>
        <v/>
      </c>
      <c r="C229" s="45" t="str">
        <f t="shared" ca="1" si="29"/>
        <v/>
      </c>
      <c r="D229" s="92" t="str">
        <f t="shared" ca="1" si="29"/>
        <v/>
      </c>
      <c r="E229" s="92" t="str">
        <f t="shared" ca="1" si="29"/>
        <v/>
      </c>
      <c r="F229" s="92" t="str">
        <f t="shared" ca="1" si="29"/>
        <v/>
      </c>
      <c r="G229" s="92" t="str">
        <f t="shared" ca="1" si="29"/>
        <v/>
      </c>
      <c r="H229" s="92" t="str">
        <f t="shared" ca="1" si="29"/>
        <v/>
      </c>
      <c r="I229" s="92" t="str">
        <f t="shared" ca="1" si="29"/>
        <v/>
      </c>
      <c r="J229" s="45" t="str">
        <f t="shared" ca="1" si="29"/>
        <v/>
      </c>
      <c r="K229" s="45" t="str">
        <f t="shared" ca="1" si="29"/>
        <v/>
      </c>
      <c r="L229" s="45" t="str">
        <f t="shared" ca="1" si="29"/>
        <v/>
      </c>
      <c r="M229" s="45" t="str">
        <f t="shared" ca="1" si="29"/>
        <v/>
      </c>
      <c r="N229" s="45" t="str">
        <f t="shared" ca="1" si="29"/>
        <v/>
      </c>
      <c r="O229" s="45" t="str">
        <f t="shared" ca="1" si="29"/>
        <v/>
      </c>
      <c r="P229" s="92" t="str">
        <f t="shared" ca="1" si="29"/>
        <v/>
      </c>
      <c r="Q229" s="92" t="str">
        <f t="shared" ca="1" si="28"/>
        <v/>
      </c>
      <c r="R229" s="92" t="str">
        <f t="shared" ca="1" si="28"/>
        <v/>
      </c>
      <c r="S229" s="92" t="str">
        <f t="shared" ca="1" si="28"/>
        <v/>
      </c>
      <c r="T229" s="92" t="str">
        <f t="shared" ca="1" si="28"/>
        <v/>
      </c>
    </row>
    <row r="230" spans="1:32" s="54" customFormat="1" ht="13.5" customHeight="1">
      <c r="A230" s="45" t="str">
        <f t="shared" ca="1" si="29"/>
        <v/>
      </c>
      <c r="B230" s="45" t="str">
        <f t="shared" ca="1" si="29"/>
        <v/>
      </c>
      <c r="C230" s="45" t="str">
        <f t="shared" ca="1" si="29"/>
        <v/>
      </c>
      <c r="D230" s="92" t="str">
        <f t="shared" ca="1" si="29"/>
        <v/>
      </c>
      <c r="E230" s="92" t="str">
        <f t="shared" ca="1" si="29"/>
        <v/>
      </c>
      <c r="F230" s="92" t="str">
        <f t="shared" ca="1" si="29"/>
        <v/>
      </c>
      <c r="G230" s="92" t="str">
        <f t="shared" ca="1" si="29"/>
        <v/>
      </c>
      <c r="H230" s="92" t="str">
        <f t="shared" ca="1" si="29"/>
        <v/>
      </c>
      <c r="I230" s="92" t="str">
        <f t="shared" ca="1" si="29"/>
        <v/>
      </c>
      <c r="J230" s="45" t="str">
        <f t="shared" ca="1" si="29"/>
        <v/>
      </c>
      <c r="K230" s="45" t="str">
        <f t="shared" ca="1" si="29"/>
        <v/>
      </c>
      <c r="L230" s="45" t="str">
        <f t="shared" ca="1" si="29"/>
        <v/>
      </c>
      <c r="M230" s="45" t="str">
        <f t="shared" ca="1" si="29"/>
        <v/>
      </c>
      <c r="N230" s="45" t="str">
        <f t="shared" ca="1" si="29"/>
        <v/>
      </c>
      <c r="O230" s="45" t="str">
        <f t="shared" ca="1" si="29"/>
        <v/>
      </c>
      <c r="P230" s="92" t="str">
        <f t="shared" ca="1" si="29"/>
        <v/>
      </c>
      <c r="Q230" s="92" t="str">
        <f t="shared" ca="1" si="28"/>
        <v/>
      </c>
      <c r="R230" s="92" t="str">
        <f t="shared" ca="1" si="28"/>
        <v/>
      </c>
      <c r="S230" s="92" t="str">
        <f t="shared" ca="1" si="28"/>
        <v/>
      </c>
      <c r="T230" s="92" t="str">
        <f t="shared" ca="1" si="28"/>
        <v/>
      </c>
    </row>
    <row r="231" spans="1:32" s="54" customFormat="1" ht="13.5" customHeight="1">
      <c r="A231" s="45" t="str">
        <f t="shared" ca="1" si="29"/>
        <v/>
      </c>
      <c r="B231" s="45" t="str">
        <f t="shared" ca="1" si="29"/>
        <v/>
      </c>
      <c r="C231" s="45" t="str">
        <f t="shared" ca="1" si="29"/>
        <v/>
      </c>
      <c r="D231" s="92" t="str">
        <f t="shared" ca="1" si="29"/>
        <v/>
      </c>
      <c r="E231" s="92" t="str">
        <f t="shared" ca="1" si="29"/>
        <v/>
      </c>
      <c r="F231" s="92" t="str">
        <f t="shared" ca="1" si="29"/>
        <v/>
      </c>
      <c r="G231" s="92" t="str">
        <f t="shared" ca="1" si="29"/>
        <v/>
      </c>
      <c r="H231" s="92" t="str">
        <f t="shared" ca="1" si="29"/>
        <v/>
      </c>
      <c r="I231" s="92" t="str">
        <f t="shared" ca="1" si="29"/>
        <v/>
      </c>
      <c r="J231" s="45" t="str">
        <f t="shared" ca="1" si="29"/>
        <v/>
      </c>
      <c r="K231" s="45" t="str">
        <f t="shared" ca="1" si="29"/>
        <v/>
      </c>
      <c r="L231" s="45" t="str">
        <f t="shared" ca="1" si="29"/>
        <v/>
      </c>
      <c r="M231" s="45" t="str">
        <f t="shared" ca="1" si="29"/>
        <v/>
      </c>
      <c r="N231" s="45" t="str">
        <f t="shared" ca="1" si="29"/>
        <v/>
      </c>
      <c r="O231" s="45" t="str">
        <f t="shared" ca="1" si="29"/>
        <v/>
      </c>
      <c r="P231" s="92" t="str">
        <f t="shared" ca="1" si="29"/>
        <v/>
      </c>
      <c r="Q231" s="92" t="str">
        <f t="shared" ca="1" si="28"/>
        <v/>
      </c>
      <c r="R231" s="92" t="str">
        <f t="shared" ca="1" si="28"/>
        <v/>
      </c>
      <c r="S231" s="92" t="str">
        <f t="shared" ca="1" si="28"/>
        <v/>
      </c>
      <c r="T231" s="92" t="str">
        <f t="shared" ca="1" si="28"/>
        <v/>
      </c>
    </row>
    <row r="232" spans="1:32" s="54" customFormat="1">
      <c r="J232" s="71"/>
      <c r="K232" s="71"/>
      <c r="L232" s="71"/>
      <c r="M232" s="71"/>
      <c r="N232" s="71"/>
      <c r="O232" s="71"/>
      <c r="P232" s="71"/>
      <c r="Q232" s="72"/>
      <c r="R232" s="73"/>
    </row>
    <row r="233" spans="1:32" ht="34.5" customHeight="1"/>
    <row r="234" spans="1:32" ht="15" customHeight="1">
      <c r="AA234" s="180" t="s">
        <v>76</v>
      </c>
      <c r="AB234" s="93" t="s">
        <v>77</v>
      </c>
      <c r="AC234" s="93" t="s">
        <v>78</v>
      </c>
      <c r="AD234" s="93" t="s">
        <v>79</v>
      </c>
      <c r="AE234" s="93" t="s">
        <v>82</v>
      </c>
      <c r="AF234" s="94"/>
    </row>
    <row r="235" spans="1:32" ht="36" customHeight="1">
      <c r="AA235" s="180"/>
      <c r="AB235" s="93"/>
      <c r="AC235" s="93"/>
      <c r="AD235" s="93"/>
      <c r="AE235" s="93"/>
      <c r="AF235" s="94"/>
    </row>
  </sheetData>
  <autoFilter ref="A14:AG231" xr:uid="{00000000-0001-0000-0000-000000000000}"/>
  <mergeCells count="45">
    <mergeCell ref="AA234:AA235"/>
    <mergeCell ref="L11:L12"/>
    <mergeCell ref="M11:M12"/>
    <mergeCell ref="N11:N12"/>
    <mergeCell ref="O11:O12"/>
    <mergeCell ref="P11:P12"/>
    <mergeCell ref="Q11:Q12"/>
    <mergeCell ref="T11:T12"/>
    <mergeCell ref="U11:U12"/>
    <mergeCell ref="R8:T8"/>
    <mergeCell ref="A11:A12"/>
    <mergeCell ref="B11:B12"/>
    <mergeCell ref="C11:C12"/>
    <mergeCell ref="D11:I11"/>
    <mergeCell ref="J11:J12"/>
    <mergeCell ref="K11:K12"/>
    <mergeCell ref="R11:R12"/>
    <mergeCell ref="B8:E8"/>
    <mergeCell ref="F8:H8"/>
    <mergeCell ref="I8:J8"/>
    <mergeCell ref="K8:M8"/>
    <mergeCell ref="N8:P8"/>
    <mergeCell ref="S11:S12"/>
    <mergeCell ref="A9:U10"/>
    <mergeCell ref="F6:H6"/>
    <mergeCell ref="I6:J6"/>
    <mergeCell ref="B7:E7"/>
    <mergeCell ref="F7:H7"/>
    <mergeCell ref="I7:J7"/>
    <mergeCell ref="T6:U6"/>
    <mergeCell ref="T7:U7"/>
    <mergeCell ref="A1:J4"/>
    <mergeCell ref="K1:M1"/>
    <mergeCell ref="N1:P1"/>
    <mergeCell ref="K2:K3"/>
    <mergeCell ref="K4:K7"/>
    <mergeCell ref="B5:E5"/>
    <mergeCell ref="F5:H5"/>
    <mergeCell ref="I5:J5"/>
    <mergeCell ref="T1:U1"/>
    <mergeCell ref="T2:U2"/>
    <mergeCell ref="T3:U3"/>
    <mergeCell ref="T4:U4"/>
    <mergeCell ref="T5:U5"/>
    <mergeCell ref="B6:E6"/>
  </mergeCells>
  <phoneticPr fontId="2" type="noConversion"/>
  <printOptions horizontalCentered="1"/>
  <pageMargins left="0.31496062992125984" right="0.31496062992125984" top="0.35433070866141736" bottom="0.19685039370078741" header="0.31496062992125984" footer="0.31496062992125984"/>
  <pageSetup paperSize="9" scale="50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8A79-BA14-452F-BFDB-16A9D1D23E34}">
  <sheetPr codeName="Sheet2">
    <tabColor rgb="FFFFFF00"/>
  </sheetPr>
  <dimension ref="A1:K37"/>
  <sheetViews>
    <sheetView workbookViewId="0">
      <selection activeCell="M30" sqref="M30"/>
    </sheetView>
  </sheetViews>
  <sheetFormatPr defaultColWidth="15.796875" defaultRowHeight="15" customHeight="1"/>
  <cols>
    <col min="1" max="1" width="11.59765625" bestFit="1" customWidth="1"/>
    <col min="2" max="2" width="7.59765625" bestFit="1" customWidth="1"/>
    <col min="3" max="3" width="5.296875" bestFit="1" customWidth="1"/>
    <col min="4" max="4" width="6.8984375" bestFit="1" customWidth="1"/>
    <col min="5" max="5" width="5.09765625" bestFit="1" customWidth="1"/>
    <col min="6" max="6" width="6.8984375" style="9" bestFit="1" customWidth="1"/>
    <col min="7" max="7" width="6.8984375" bestFit="1" customWidth="1"/>
    <col min="8" max="8" width="4.8984375" bestFit="1" customWidth="1"/>
    <col min="9" max="10" width="8.69921875" bestFit="1" customWidth="1"/>
    <col min="11" max="11" width="8.69921875" style="9" bestFit="1" customWidth="1"/>
  </cols>
  <sheetData>
    <row r="1" spans="1:11" ht="15" customHeight="1">
      <c r="A1" s="5" t="s">
        <v>11</v>
      </c>
      <c r="B1" s="5" t="s">
        <v>12</v>
      </c>
      <c r="C1" s="5" t="s">
        <v>13</v>
      </c>
      <c r="D1" s="5" t="s">
        <v>14</v>
      </c>
      <c r="E1" s="5" t="s">
        <v>15</v>
      </c>
      <c r="F1" s="7" t="s">
        <v>23</v>
      </c>
      <c r="G1" s="5" t="s">
        <v>18</v>
      </c>
      <c r="H1" s="5" t="s">
        <v>16</v>
      </c>
      <c r="I1" s="5" t="s">
        <v>17</v>
      </c>
      <c r="J1" s="5" t="s">
        <v>8</v>
      </c>
      <c r="K1" s="7" t="s">
        <v>21</v>
      </c>
    </row>
    <row r="2" spans="1:11" ht="15" customHeight="1">
      <c r="A2" s="2" t="s">
        <v>89</v>
      </c>
      <c r="B2" s="4" t="s">
        <v>90</v>
      </c>
      <c r="C2" s="3">
        <v>150</v>
      </c>
      <c r="D2" s="3" t="s">
        <v>91</v>
      </c>
      <c r="E2" s="3">
        <v>200</v>
      </c>
      <c r="F2" s="88" t="s">
        <v>22</v>
      </c>
      <c r="G2" s="3" t="s">
        <v>92</v>
      </c>
      <c r="H2" s="3">
        <v>110</v>
      </c>
      <c r="I2" s="3">
        <v>30</v>
      </c>
      <c r="J2" s="3">
        <v>30</v>
      </c>
      <c r="K2" s="88" t="s">
        <v>104</v>
      </c>
    </row>
    <row r="3" spans="1:11" ht="15" customHeight="1">
      <c r="A3" s="2" t="s">
        <v>93</v>
      </c>
      <c r="B3" s="4" t="s">
        <v>94</v>
      </c>
      <c r="C3" s="3">
        <v>150</v>
      </c>
      <c r="D3" s="3" t="s">
        <v>91</v>
      </c>
      <c r="E3" s="3">
        <v>200</v>
      </c>
      <c r="F3" s="88" t="s">
        <v>22</v>
      </c>
      <c r="G3" s="3" t="s">
        <v>92</v>
      </c>
      <c r="H3" s="3">
        <v>110</v>
      </c>
      <c r="I3" s="3">
        <v>30</v>
      </c>
      <c r="J3" s="3">
        <v>30</v>
      </c>
      <c r="K3" s="88" t="s">
        <v>104</v>
      </c>
    </row>
    <row r="4" spans="1:11" ht="15" customHeight="1">
      <c r="A4" s="2" t="s">
        <v>95</v>
      </c>
      <c r="B4" s="4" t="s">
        <v>96</v>
      </c>
      <c r="C4" s="3">
        <v>150</v>
      </c>
      <c r="D4" s="3" t="s">
        <v>91</v>
      </c>
      <c r="E4" s="3">
        <v>200</v>
      </c>
      <c r="F4" s="88" t="s">
        <v>22</v>
      </c>
      <c r="G4" s="3" t="s">
        <v>92</v>
      </c>
      <c r="H4" s="3">
        <v>110</v>
      </c>
      <c r="I4" s="3">
        <v>30</v>
      </c>
      <c r="J4" s="3">
        <v>30</v>
      </c>
      <c r="K4" s="88" t="s">
        <v>104</v>
      </c>
    </row>
    <row r="5" spans="1:11" ht="15" customHeight="1">
      <c r="A5" s="2" t="s">
        <v>97</v>
      </c>
      <c r="B5" s="4" t="s">
        <v>96</v>
      </c>
      <c r="C5" s="3">
        <v>150</v>
      </c>
      <c r="D5" s="3" t="s">
        <v>91</v>
      </c>
      <c r="E5" s="3" t="s">
        <v>92</v>
      </c>
      <c r="F5" s="88" t="s">
        <v>22</v>
      </c>
      <c r="G5" s="3" t="s">
        <v>98</v>
      </c>
      <c r="H5" s="3">
        <v>110</v>
      </c>
      <c r="I5" s="3">
        <v>30</v>
      </c>
      <c r="J5" s="3">
        <v>30</v>
      </c>
      <c r="K5" s="88" t="s">
        <v>104</v>
      </c>
    </row>
    <row r="6" spans="1:11" ht="15" customHeight="1">
      <c r="A6" s="2" t="s">
        <v>99</v>
      </c>
      <c r="B6" s="4" t="s">
        <v>100</v>
      </c>
      <c r="C6" s="3">
        <v>250</v>
      </c>
      <c r="D6" s="3" t="s">
        <v>101</v>
      </c>
      <c r="E6" s="3" t="s">
        <v>92</v>
      </c>
      <c r="F6" s="88" t="s">
        <v>22</v>
      </c>
      <c r="G6" s="3" t="s">
        <v>92</v>
      </c>
      <c r="H6" s="3">
        <v>210</v>
      </c>
      <c r="I6" s="3">
        <v>30</v>
      </c>
      <c r="J6" s="3">
        <v>30</v>
      </c>
      <c r="K6" s="88" t="s">
        <v>104</v>
      </c>
    </row>
    <row r="7" spans="1:11" ht="15" customHeight="1">
      <c r="A7" s="2" t="s">
        <v>102</v>
      </c>
      <c r="B7" s="4" t="s">
        <v>100</v>
      </c>
      <c r="C7" s="3">
        <v>250</v>
      </c>
      <c r="D7" s="3" t="s">
        <v>101</v>
      </c>
      <c r="E7" s="3" t="s">
        <v>92</v>
      </c>
      <c r="F7" s="7" t="s">
        <v>22</v>
      </c>
      <c r="G7" s="3" t="s">
        <v>92</v>
      </c>
      <c r="H7" s="3">
        <v>210</v>
      </c>
      <c r="I7" s="3">
        <v>30</v>
      </c>
      <c r="J7" s="3">
        <v>30</v>
      </c>
      <c r="K7" s="7" t="s">
        <v>104</v>
      </c>
    </row>
    <row r="8" spans="1:11" ht="15" customHeight="1">
      <c r="A8" s="2" t="s">
        <v>103</v>
      </c>
      <c r="B8" s="4" t="s">
        <v>100</v>
      </c>
      <c r="C8" s="3">
        <v>250</v>
      </c>
      <c r="D8" s="3" t="s">
        <v>101</v>
      </c>
      <c r="E8" s="3">
        <v>200</v>
      </c>
      <c r="F8" s="7" t="s">
        <v>22</v>
      </c>
      <c r="G8" s="3" t="s">
        <v>92</v>
      </c>
      <c r="H8" s="3">
        <v>210</v>
      </c>
      <c r="I8" s="3">
        <v>30</v>
      </c>
      <c r="J8" s="3">
        <v>30</v>
      </c>
      <c r="K8" s="7" t="s">
        <v>104</v>
      </c>
    </row>
    <row r="9" spans="1:11" ht="15" customHeight="1">
      <c r="A9" s="2"/>
      <c r="B9" s="4"/>
      <c r="C9" s="3"/>
      <c r="D9" s="3"/>
      <c r="E9" s="3"/>
      <c r="F9" s="7"/>
      <c r="G9" s="3"/>
      <c r="H9" s="3"/>
      <c r="I9" s="3"/>
      <c r="J9" s="3"/>
      <c r="K9" s="7"/>
    </row>
    <row r="10" spans="1:11" ht="15" customHeight="1">
      <c r="A10" s="2"/>
      <c r="B10" s="4"/>
      <c r="C10" s="3"/>
      <c r="D10" s="3"/>
      <c r="E10" s="3"/>
      <c r="F10" s="7"/>
      <c r="G10" s="3"/>
      <c r="H10" s="3"/>
      <c r="I10" s="3"/>
      <c r="J10" s="3"/>
      <c r="K10" s="7"/>
    </row>
    <row r="11" spans="1:11" ht="15" customHeight="1">
      <c r="A11" s="2"/>
      <c r="B11" s="4"/>
      <c r="C11" s="3"/>
      <c r="D11" s="3"/>
      <c r="E11" s="3"/>
      <c r="F11" s="7"/>
      <c r="G11" s="3"/>
      <c r="H11" s="3"/>
      <c r="I11" s="3"/>
      <c r="J11" s="3"/>
      <c r="K11" s="7"/>
    </row>
    <row r="12" spans="1:11" ht="15" customHeight="1">
      <c r="A12" s="2"/>
      <c r="B12" s="4"/>
      <c r="C12" s="3"/>
      <c r="D12" s="3"/>
      <c r="E12" s="3"/>
      <c r="F12" s="7"/>
      <c r="G12" s="3"/>
      <c r="H12" s="3"/>
      <c r="I12" s="3"/>
      <c r="J12" s="3"/>
      <c r="K12" s="7"/>
    </row>
    <row r="13" spans="1:11" ht="15" customHeight="1">
      <c r="A13" s="2"/>
      <c r="B13" s="4"/>
      <c r="C13" s="3"/>
      <c r="D13" s="3"/>
      <c r="E13" s="3"/>
      <c r="F13" s="7"/>
      <c r="G13" s="3"/>
      <c r="H13" s="3"/>
      <c r="I13" s="3"/>
      <c r="J13" s="3"/>
      <c r="K13" s="7"/>
    </row>
    <row r="14" spans="1:11" ht="15" customHeight="1">
      <c r="A14" s="2"/>
      <c r="B14" s="4"/>
      <c r="C14" s="3"/>
      <c r="D14" s="3"/>
      <c r="E14" s="3"/>
      <c r="F14" s="7"/>
      <c r="G14" s="3"/>
      <c r="H14" s="3"/>
      <c r="I14" s="3"/>
      <c r="J14" s="3"/>
      <c r="K14" s="7"/>
    </row>
    <row r="15" spans="1:11" ht="15" customHeight="1">
      <c r="A15" s="2"/>
      <c r="B15" s="4"/>
      <c r="C15" s="3"/>
      <c r="D15" s="3"/>
      <c r="E15" s="3"/>
      <c r="F15" s="7"/>
      <c r="G15" s="3"/>
      <c r="H15" s="3"/>
      <c r="I15" s="3"/>
      <c r="J15" s="3"/>
      <c r="K15" s="7"/>
    </row>
    <row r="16" spans="1:11" ht="15" customHeight="1">
      <c r="A16" s="2"/>
      <c r="B16" s="4"/>
      <c r="C16" s="3"/>
      <c r="D16" s="3"/>
      <c r="E16" s="3"/>
      <c r="F16" s="7"/>
      <c r="G16" s="3"/>
      <c r="H16" s="3"/>
      <c r="I16" s="3"/>
      <c r="J16" s="3"/>
      <c r="K16" s="7"/>
    </row>
    <row r="17" spans="1:11" ht="15" customHeight="1">
      <c r="A17" s="2"/>
      <c r="B17" s="4"/>
      <c r="C17" s="3"/>
      <c r="D17" s="3"/>
      <c r="E17" s="3"/>
      <c r="F17" s="7"/>
      <c r="G17" s="3"/>
      <c r="H17" s="3"/>
      <c r="I17" s="3"/>
      <c r="J17" s="3"/>
      <c r="K17" s="7"/>
    </row>
    <row r="18" spans="1:11" ht="15" customHeight="1">
      <c r="A18" s="2"/>
      <c r="B18" s="4"/>
      <c r="C18" s="3"/>
      <c r="D18" s="3"/>
      <c r="E18" s="3"/>
      <c r="F18" s="7"/>
      <c r="G18" s="3"/>
      <c r="H18" s="3"/>
      <c r="I18" s="3"/>
      <c r="J18" s="3"/>
      <c r="K18" s="7"/>
    </row>
    <row r="19" spans="1:11" ht="15" customHeight="1">
      <c r="A19" s="2"/>
      <c r="B19" s="4"/>
      <c r="C19" s="3"/>
      <c r="D19" s="3"/>
      <c r="E19" s="3"/>
      <c r="F19" s="7"/>
      <c r="G19" s="3"/>
      <c r="H19" s="3"/>
      <c r="I19" s="3"/>
      <c r="J19" s="3"/>
      <c r="K19" s="7"/>
    </row>
    <row r="20" spans="1:11" ht="15" customHeight="1">
      <c r="A20" s="2"/>
      <c r="B20" s="4"/>
      <c r="C20" s="3"/>
      <c r="D20" s="3"/>
      <c r="E20" s="3"/>
      <c r="F20" s="7"/>
      <c r="G20" s="3"/>
      <c r="H20" s="3"/>
      <c r="I20" s="3"/>
      <c r="J20" s="3"/>
      <c r="K20" s="7"/>
    </row>
    <row r="21" spans="1:11" ht="15" customHeight="1">
      <c r="A21" s="2"/>
      <c r="B21" s="4"/>
      <c r="C21" s="3"/>
      <c r="D21" s="3"/>
      <c r="E21" s="3"/>
      <c r="F21" s="7"/>
      <c r="G21" s="3"/>
      <c r="H21" s="3"/>
      <c r="I21" s="3"/>
      <c r="J21" s="3"/>
      <c r="K21" s="7"/>
    </row>
    <row r="22" spans="1:11" ht="15" customHeight="1">
      <c r="A22" s="2"/>
      <c r="B22" s="4"/>
      <c r="C22" s="3"/>
      <c r="D22" s="3"/>
      <c r="E22" s="3"/>
      <c r="F22" s="7"/>
      <c r="G22" s="3"/>
      <c r="H22" s="3"/>
      <c r="I22" s="3"/>
      <c r="J22" s="3"/>
      <c r="K22" s="7"/>
    </row>
    <row r="23" spans="1:11" ht="15" customHeight="1">
      <c r="A23" s="2"/>
      <c r="B23" s="4"/>
      <c r="C23" s="3"/>
      <c r="D23" s="3"/>
      <c r="E23" s="3"/>
      <c r="F23" s="7"/>
      <c r="G23" s="3"/>
      <c r="H23" s="3"/>
      <c r="I23" s="3"/>
      <c r="J23" s="3"/>
      <c r="K23" s="7"/>
    </row>
    <row r="24" spans="1:11" ht="15" customHeight="1">
      <c r="A24" s="2"/>
      <c r="B24" s="4"/>
      <c r="C24" s="3"/>
      <c r="D24" s="3"/>
      <c r="E24" s="3"/>
      <c r="F24" s="7"/>
      <c r="G24" s="3"/>
      <c r="H24" s="3"/>
      <c r="I24" s="3"/>
      <c r="J24" s="3"/>
      <c r="K24" s="7"/>
    </row>
    <row r="25" spans="1:11" ht="15" customHeight="1">
      <c r="A25" s="2"/>
      <c r="B25" s="4"/>
      <c r="C25" s="3"/>
      <c r="D25" s="3"/>
      <c r="E25" s="3"/>
      <c r="F25" s="7"/>
      <c r="G25" s="3"/>
      <c r="H25" s="3"/>
      <c r="I25" s="3"/>
      <c r="J25" s="3"/>
      <c r="K25" s="7"/>
    </row>
    <row r="26" spans="1:11" ht="15" customHeight="1">
      <c r="A26" s="2"/>
      <c r="B26" s="4"/>
      <c r="C26" s="3"/>
      <c r="D26" s="3"/>
      <c r="E26" s="3"/>
      <c r="F26" s="7"/>
      <c r="G26" s="3"/>
      <c r="H26" s="3"/>
      <c r="I26" s="3"/>
      <c r="J26" s="3"/>
      <c r="K26" s="7"/>
    </row>
    <row r="27" spans="1:11" ht="15" customHeight="1">
      <c r="A27" s="2"/>
      <c r="B27" s="4"/>
      <c r="C27" s="3"/>
      <c r="D27" s="3"/>
      <c r="E27" s="3"/>
      <c r="F27" s="7"/>
      <c r="G27" s="3"/>
      <c r="H27" s="3"/>
      <c r="I27" s="3"/>
      <c r="J27" s="3"/>
      <c r="K27" s="7"/>
    </row>
    <row r="28" spans="1:11" ht="15" customHeight="1">
      <c r="A28" s="2"/>
      <c r="B28" s="4"/>
      <c r="C28" s="3"/>
      <c r="D28" s="3"/>
      <c r="E28" s="3"/>
      <c r="F28" s="7"/>
      <c r="G28" s="3"/>
      <c r="H28" s="3"/>
      <c r="I28" s="3"/>
      <c r="J28" s="3"/>
      <c r="K28" s="7"/>
    </row>
    <row r="29" spans="1:11" ht="15" customHeight="1">
      <c r="A29" s="2"/>
      <c r="B29" s="4"/>
      <c r="C29" s="3"/>
      <c r="D29" s="3"/>
      <c r="E29" s="3"/>
      <c r="F29" s="7"/>
      <c r="G29" s="3"/>
      <c r="H29" s="3"/>
      <c r="I29" s="3"/>
      <c r="J29" s="3"/>
      <c r="K29" s="7"/>
    </row>
    <row r="30" spans="1:11" ht="15" customHeight="1">
      <c r="A30" s="2"/>
      <c r="B30" s="4"/>
      <c r="C30" s="3"/>
      <c r="D30" s="3"/>
      <c r="E30" s="3"/>
      <c r="F30" s="7"/>
      <c r="G30" s="3"/>
      <c r="H30" s="3"/>
      <c r="I30" s="3"/>
      <c r="J30" s="3"/>
      <c r="K30" s="7"/>
    </row>
    <row r="31" spans="1:11" ht="15" customHeight="1">
      <c r="A31" s="2"/>
      <c r="B31" s="4"/>
      <c r="C31" s="3"/>
      <c r="D31" s="3"/>
      <c r="E31" s="3"/>
      <c r="F31" s="7"/>
      <c r="G31" s="3"/>
      <c r="H31" s="3"/>
      <c r="I31" s="3"/>
      <c r="J31" s="3"/>
      <c r="K31" s="7"/>
    </row>
    <row r="32" spans="1:11" ht="15" customHeight="1">
      <c r="A32" s="2"/>
      <c r="B32" s="4"/>
      <c r="C32" s="3"/>
      <c r="D32" s="3"/>
      <c r="E32" s="3"/>
      <c r="F32" s="7"/>
      <c r="G32" s="3"/>
      <c r="H32" s="3"/>
      <c r="I32" s="3"/>
      <c r="J32" s="3"/>
      <c r="K32" s="7"/>
    </row>
    <row r="33" spans="1:11" ht="15" customHeight="1">
      <c r="A33" s="2"/>
      <c r="B33" s="4"/>
      <c r="C33" s="3"/>
      <c r="D33" s="3"/>
      <c r="E33" s="3"/>
      <c r="F33" s="7"/>
      <c r="G33" s="3"/>
      <c r="H33" s="3"/>
      <c r="I33" s="3"/>
      <c r="J33" s="3"/>
      <c r="K33" s="7"/>
    </row>
    <row r="34" spans="1:11" ht="15" customHeight="1">
      <c r="A34" s="2"/>
      <c r="B34" s="4"/>
      <c r="C34" s="3"/>
      <c r="D34" s="3"/>
      <c r="E34" s="3"/>
      <c r="F34" s="7"/>
      <c r="G34" s="3"/>
      <c r="H34" s="3"/>
      <c r="I34" s="3"/>
      <c r="J34" s="3"/>
      <c r="K34" s="7"/>
    </row>
    <row r="35" spans="1:11" ht="15" customHeight="1">
      <c r="A35" s="2"/>
      <c r="B35" s="4"/>
      <c r="C35" s="3"/>
      <c r="D35" s="3"/>
      <c r="E35" s="3"/>
      <c r="F35" s="7"/>
      <c r="G35" s="3"/>
      <c r="H35" s="3"/>
      <c r="I35" s="3"/>
      <c r="J35" s="3"/>
      <c r="K35" s="7"/>
    </row>
    <row r="36" spans="1:11" ht="15" customHeight="1">
      <c r="A36" s="2"/>
      <c r="B36" s="4"/>
      <c r="C36" s="3"/>
      <c r="D36" s="3"/>
      <c r="E36" s="3"/>
      <c r="F36" s="7"/>
      <c r="G36" s="3"/>
      <c r="H36" s="3"/>
      <c r="I36" s="3"/>
      <c r="J36" s="3"/>
      <c r="K36" s="7"/>
    </row>
    <row r="37" spans="1:11" ht="15" customHeight="1">
      <c r="A37" s="1"/>
      <c r="B37" s="1"/>
      <c r="C37" s="1"/>
      <c r="D37" s="1"/>
      <c r="E37" s="1"/>
      <c r="F37" s="8"/>
      <c r="G37" s="1"/>
      <c r="H37" s="1"/>
      <c r="I37" s="1"/>
      <c r="J37" s="1"/>
      <c r="K37" s="8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제작의뢰서</vt:lpstr>
      <vt:lpstr>RECHECK</vt:lpstr>
      <vt:lpstr>일람표</vt:lpstr>
      <vt:lpstr>RECHECK!Print_Area</vt:lpstr>
      <vt:lpstr>제작의뢰서!Print_Area</vt:lpstr>
      <vt:lpstr>RECHECK!Print_Titles</vt:lpstr>
      <vt:lpstr>제작의뢰서!Print_Titles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</dc:creator>
  <cp:lastModifiedBy>SJ</cp:lastModifiedBy>
  <cp:lastPrinted>2026-03-05T04:02:40Z</cp:lastPrinted>
  <dcterms:created xsi:type="dcterms:W3CDTF">2014-08-05T08:58:37Z</dcterms:created>
  <dcterms:modified xsi:type="dcterms:W3CDTF">2026-04-21T00:31:55Z</dcterms:modified>
</cp:coreProperties>
</file>